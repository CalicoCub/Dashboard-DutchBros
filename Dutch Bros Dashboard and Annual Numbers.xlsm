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workbookPr hidePivotFieldList="1" defaultThemeVersion="202300"/>
  <mc:AlternateContent xmlns:mc="http://schemas.openxmlformats.org/markup-compatibility/2006">
    <mc:Choice Requires="x15">
      <x15ac:absPath xmlns:x15ac="http://schemas.microsoft.com/office/spreadsheetml/2010/11/ac" url="C:\Users\media\Desktop\Sydney School\Data Analytics\"/>
    </mc:Choice>
  </mc:AlternateContent>
  <xr:revisionPtr revIDLastSave="0" documentId="13_ncr:1_{50C04CDA-4573-4998-B2DB-ECA7CDA26034}" xr6:coauthVersionLast="47" xr6:coauthVersionMax="47" xr10:uidLastSave="{00000000-0000-0000-0000-000000000000}"/>
  <bookViews>
    <workbookView xWindow="-120" yWindow="-120" windowWidth="20730" windowHeight="11040" xr2:uid="{1F598C8F-7BA6-48E7-AADB-B747F0CE15B8}"/>
  </bookViews>
  <sheets>
    <sheet name="Dashboard" sheetId="13" r:id="rId1"/>
    <sheet name="Charts" sheetId="12" r:id="rId2"/>
    <sheet name="Tables" sheetId="9" r:id="rId3"/>
    <sheet name="Expansion vs Profit" sheetId="8" r:id="rId4"/>
    <sheet name="Cost Analysis" sheetId="7" r:id="rId5"/>
    <sheet name="Profitability" sheetId="5" r:id="rId6"/>
    <sheet name="Efficiency" sheetId="6" r:id="rId7"/>
    <sheet name="Growth Analysis" sheetId="3" r:id="rId8"/>
    <sheet name="Company vs Franchise" sheetId="14" r:id="rId9"/>
    <sheet name="Financial Summary" sheetId="15" r:id="rId10"/>
    <sheet name="Same Shop Sales" sheetId="16" r:id="rId11"/>
    <sheet name="Data" sheetId="1" r:id="rId12"/>
  </sheets>
  <definedNames>
    <definedName name="_xlcn.WorksheetConnection_Sheet1A1O71" hidden="1">Data!$A$1:$O$7</definedName>
    <definedName name="Slicer_Year">#N/A</definedName>
  </definedNames>
  <calcPr calcId="191029"/>
  <customWorkbookViews>
    <customWorkbookView name="test" guid="{6D03D69D-4C38-4796-9B98-7AD9E375DE36}" includePrintSettings="0" includeHiddenRowCol="0" maximized="1" xWindow="-8" yWindow="-8" windowWidth="1382" windowHeight="736" activeSheetId="13"/>
  </customWorkbookViews>
  <pivotCaches>
    <pivotCache cacheId="0" r:id="rId13"/>
    <pivotCache cacheId="1" r:id="rId14"/>
    <pivotCache cacheId="2" r:id="rId15"/>
    <pivotCache cacheId="3" r:id="rId16"/>
    <pivotCache cacheId="4" r:id="rId17"/>
    <pivotCache cacheId="5" r:id="rId18"/>
    <pivotCache cacheId="6" r:id="rId19"/>
    <pivotCache cacheId="7" r:id="rId20"/>
    <pivotCache cacheId="12" r:id="rId21"/>
  </pivotCaches>
  <extLst>
    <ext xmlns:x14="http://schemas.microsoft.com/office/spreadsheetml/2009/9/main" uri="{BBE1A952-AA13-448e-AADC-164F8A28A991}">
      <x14:slicerCaches>
        <x14:slicerCache r:id="rId2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Sheet1!$A$1:$O$7"/>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Q4" i="1" l="1"/>
  <c r="Q5" i="1"/>
  <c r="Q6" i="1"/>
  <c r="Q7" i="1"/>
  <c r="Q3" i="1"/>
  <c r="P5" i="1"/>
  <c r="P6" i="1"/>
  <c r="P7" i="1"/>
  <c r="P4" i="1"/>
  <c r="P3" i="1"/>
  <c r="E6" i="1"/>
  <c r="E3" i="1"/>
  <c r="O7" i="1"/>
  <c r="L7" i="1"/>
  <c r="J7" i="1"/>
  <c r="I7" i="1"/>
  <c r="H7" i="1"/>
  <c r="E7" i="1"/>
  <c r="C7" i="1"/>
  <c r="O6" i="1"/>
  <c r="L6" i="1"/>
  <c r="J6" i="1"/>
  <c r="I6" i="1"/>
  <c r="H6" i="1"/>
  <c r="C6" i="1"/>
  <c r="O5" i="1"/>
  <c r="L5" i="1"/>
  <c r="J5" i="1"/>
  <c r="I5" i="1"/>
  <c r="H5" i="1"/>
  <c r="C5" i="1"/>
  <c r="O4" i="1"/>
  <c r="L4" i="1"/>
  <c r="J4" i="1"/>
  <c r="I4" i="1"/>
  <c r="H4" i="1"/>
  <c r="C4" i="1"/>
  <c r="O3" i="1"/>
  <c r="L3" i="1"/>
  <c r="J3" i="1"/>
  <c r="I3" i="1"/>
  <c r="H3" i="1"/>
  <c r="C3" i="1"/>
  <c r="O2" i="1"/>
  <c r="J2" i="1"/>
  <c r="I2" i="1"/>
  <c r="H2"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BD6D590-BBF4-448F-B5CC-62EAB23F6BA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7F5A1B2D-7953-4657-B82D-DE6DFA49D01C}" name="WorksheetConnection_Sheet1!$A$1:$O$7" type="102" refreshedVersion="8" minRefreshableVersion="5">
    <extLst>
      <ext xmlns:x15="http://schemas.microsoft.com/office/spreadsheetml/2010/11/main" uri="{DE250136-89BD-433C-8126-D09CA5730AF9}">
        <x15:connection id="Range" autoDelete="1">
          <x15:rangePr sourceName="_xlcn.WorksheetConnection_Sheet1A1O71"/>
        </x15:connection>
      </ext>
    </extLst>
  </connection>
</connections>
</file>

<file path=xl/sharedStrings.xml><?xml version="1.0" encoding="utf-8"?>
<sst xmlns="http://schemas.openxmlformats.org/spreadsheetml/2006/main" count="115" uniqueCount="60">
  <si>
    <t>Year</t>
  </si>
  <si>
    <t>Revenue</t>
  </si>
  <si>
    <t>Net Income</t>
  </si>
  <si>
    <t>Operating Income</t>
  </si>
  <si>
    <t>Operating Expenses</t>
  </si>
  <si>
    <t>Total Stores</t>
  </si>
  <si>
    <t>Company Stores</t>
  </si>
  <si>
    <t>Franchise Stores</t>
  </si>
  <si>
    <t>Revenue Growth %</t>
  </si>
  <si>
    <t>Total Store Growth %</t>
  </si>
  <si>
    <t>Operating Margin</t>
  </si>
  <si>
    <t>Net Profit Margin</t>
  </si>
  <si>
    <t>Revenue per Store</t>
  </si>
  <si>
    <t>Expense Ratio</t>
  </si>
  <si>
    <t xml:space="preserve"> Operating Margin</t>
  </si>
  <si>
    <t xml:space="preserve"> Net Profit Margin</t>
  </si>
  <si>
    <t>Net Income Growth %</t>
  </si>
  <si>
    <t xml:space="preserve"> Total Store Growth %</t>
  </si>
  <si>
    <t xml:space="preserve"> Revenue Growth %</t>
  </si>
  <si>
    <t>Growth Analysis</t>
  </si>
  <si>
    <t>Efficiency</t>
  </si>
  <si>
    <t>Profitability</t>
  </si>
  <si>
    <t>Cost Analysis</t>
  </si>
  <si>
    <t>Expansion vs Profit</t>
  </si>
  <si>
    <t xml:space="preserve"> Net Income Growth %</t>
  </si>
  <si>
    <t>Sum of Revenue</t>
  </si>
  <si>
    <t>Sum of Revenue Growth %</t>
  </si>
  <si>
    <t>Sum of Net Income</t>
  </si>
  <si>
    <t>Row Labels</t>
  </si>
  <si>
    <t>Grand Total</t>
  </si>
  <si>
    <t>Sum of Operating Income</t>
  </si>
  <si>
    <t>Sum of Operating Expenses</t>
  </si>
  <si>
    <t>Sum of Operating Margin</t>
  </si>
  <si>
    <t>Sum of Net Profit Margin</t>
  </si>
  <si>
    <t>Sum of Expense Ratio</t>
  </si>
  <si>
    <t>Sum of Total Stores</t>
  </si>
  <si>
    <t>Sum of Total Store Growth %</t>
  </si>
  <si>
    <t>Sum of Company Stores</t>
  </si>
  <si>
    <t>Sum of Franchise Stores</t>
  </si>
  <si>
    <t>Sum of Revenue per Store</t>
  </si>
  <si>
    <t>Sum of Net Income Growth %</t>
  </si>
  <si>
    <t>Dashboard Reference</t>
  </si>
  <si>
    <t>NA</t>
  </si>
  <si>
    <t>Company Stores % of Total</t>
  </si>
  <si>
    <t>Franchise Stores % of Total</t>
  </si>
  <si>
    <t>-</t>
  </si>
  <si>
    <t xml:space="preserve"> Total Stores</t>
  </si>
  <si>
    <t xml:space="preserve"> Franchise Stores</t>
  </si>
  <si>
    <t xml:space="preserve"> Company Stores</t>
  </si>
  <si>
    <t xml:space="preserve"> Company Stores % of Total</t>
  </si>
  <si>
    <t xml:space="preserve"> Franchise Stores % of Total</t>
  </si>
  <si>
    <t>Company vs Franchise</t>
  </si>
  <si>
    <t>Same Shop Sales Growth %</t>
  </si>
  <si>
    <t xml:space="preserve"> Revenue</t>
  </si>
  <si>
    <t xml:space="preserve"> Operating Income</t>
  </si>
  <si>
    <t xml:space="preserve"> Net Income</t>
  </si>
  <si>
    <t xml:space="preserve"> Operating Expenses</t>
  </si>
  <si>
    <t>Financial Summary</t>
  </si>
  <si>
    <t xml:space="preserve"> Same Shop Sales Growth %</t>
  </si>
  <si>
    <t>Company vs Franchise Chart Reference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</si>
</sst>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quot;$&quot;* #,##0.00_);_(&quot;$&quot;* \(#,##0.00\);_(&quot;$&quot;* &quot;-&quot;??_);_(@_)"/>
    <numFmt numFmtId="164" formatCode="_(&quot;$&quot;* #,##0_);_(&quot;$&quot;* \(#,##0\);_(&quot;$&quot;* &quot;-&quot;??_);_(@_)"/>
    <numFmt numFmtId="165" formatCode="0.0%"/>
  </numFmts>
  <fonts count="6" x14ac:knownFonts="1">
    <font>
      <sz val="11"/>
      <color theme="1"/>
      <name val="Aptos Narrow"/>
      <family val="2"/>
      <scheme val="minor"/>
    </font>
    <font>
      <sz val="11"/>
      <color theme="1"/>
      <name val="Aptos Narrow"/>
      <family val="2"/>
      <scheme val="minor"/>
    </font>
    <font>
      <sz val="11"/>
      <color theme="5" tint="-0.249977111117893"/>
      <name val="Aptos Narrow"/>
      <family val="2"/>
      <scheme val="minor"/>
    </font>
    <font>
      <sz val="11"/>
      <color rgb="FFE68900"/>
      <name val="Aptos Narrow"/>
      <family val="2"/>
      <scheme val="minor"/>
    </font>
    <font>
      <sz val="11"/>
      <color theme="3" tint="9.9978637043366805E-2"/>
      <name val="Aptos Narrow"/>
      <family val="2"/>
      <scheme val="minor"/>
    </font>
    <font>
      <sz val="11"/>
      <color theme="4"/>
      <name val="Aptos Narrow"/>
      <family val="2"/>
      <scheme val="minor"/>
    </font>
  </fonts>
  <fills count="10">
    <fill>
      <patternFill patternType="none"/>
    </fill>
    <fill>
      <patternFill patternType="gray125"/>
    </fill>
    <fill>
      <patternFill patternType="solid">
        <fgColor rgb="FFFF9900"/>
        <bgColor indexed="64"/>
      </patternFill>
    </fill>
    <fill>
      <patternFill patternType="solid">
        <fgColor rgb="FFFFCC66"/>
        <bgColor indexed="64"/>
      </patternFill>
    </fill>
    <fill>
      <patternFill patternType="solid">
        <fgColor rgb="FFFFDB01"/>
        <bgColor indexed="64"/>
      </patternFill>
    </fill>
    <fill>
      <patternFill patternType="solid">
        <fgColor rgb="FFFFE161"/>
        <bgColor indexed="64"/>
      </patternFill>
    </fill>
    <fill>
      <patternFill patternType="solid">
        <fgColor theme="0"/>
        <bgColor indexed="64"/>
      </patternFill>
    </fill>
    <fill>
      <patternFill patternType="solid">
        <fgColor rgb="FFFF9900"/>
        <bgColor rgb="FFFFCC66"/>
      </patternFill>
    </fill>
    <fill>
      <patternFill patternType="solid">
        <fgColor rgb="FF006098"/>
        <bgColor indexed="64"/>
      </patternFill>
    </fill>
    <fill>
      <patternFill patternType="solid">
        <fgColor rgb="FFFDE021"/>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53">
    <xf numFmtId="0" fontId="0" fillId="0" borderId="0" xfId="0"/>
    <xf numFmtId="0" fontId="0" fillId="0" borderId="0" xfId="0" applyAlignment="1">
      <alignment horizontal="center"/>
    </xf>
    <xf numFmtId="164" fontId="0" fillId="0" borderId="0" xfId="0" applyNumberFormat="1"/>
    <xf numFmtId="164" fontId="0" fillId="0" borderId="0" xfId="0" applyNumberFormat="1" applyAlignment="1">
      <alignment horizontal="center"/>
    </xf>
    <xf numFmtId="1" fontId="0" fillId="0" borderId="0" xfId="0" applyNumberFormat="1" applyAlignment="1">
      <alignment horizontal="center"/>
    </xf>
    <xf numFmtId="165" fontId="0" fillId="0" borderId="0" xfId="1" applyNumberFormat="1" applyFont="1" applyAlignment="1">
      <alignment horizontal="center"/>
    </xf>
    <xf numFmtId="0" fontId="0" fillId="0" borderId="0" xfId="0" pivotButton="1" applyAlignment="1">
      <alignment horizontal="center"/>
    </xf>
    <xf numFmtId="165" fontId="0" fillId="0" borderId="0" xfId="0" applyNumberFormat="1" applyAlignment="1">
      <alignment horizontal="center"/>
    </xf>
    <xf numFmtId="0" fontId="2" fillId="2" borderId="0" xfId="0" applyFont="1" applyFill="1" applyAlignment="1">
      <alignment horizontal="center"/>
    </xf>
    <xf numFmtId="0" fontId="2" fillId="3" borderId="0" xfId="0" applyFont="1" applyFill="1" applyAlignment="1">
      <alignment horizontal="center"/>
    </xf>
    <xf numFmtId="165" fontId="2" fillId="3" borderId="0" xfId="0" applyNumberFormat="1" applyFont="1" applyFill="1" applyAlignment="1">
      <alignment horizontal="center"/>
    </xf>
    <xf numFmtId="0" fontId="3" fillId="4" borderId="0" xfId="0" applyFont="1" applyFill="1" applyAlignment="1">
      <alignment horizontal="center"/>
    </xf>
    <xf numFmtId="164" fontId="3" fillId="5" borderId="0" xfId="0" applyNumberFormat="1" applyFont="1" applyFill="1" applyAlignment="1">
      <alignment horizontal="center"/>
    </xf>
    <xf numFmtId="0" fontId="3" fillId="5" borderId="0" xfId="0" applyFont="1" applyFill="1" applyAlignment="1">
      <alignment horizontal="center"/>
    </xf>
    <xf numFmtId="44" fontId="3" fillId="5" borderId="0" xfId="0" applyNumberFormat="1" applyFont="1" applyFill="1" applyAlignment="1">
      <alignment horizontal="center"/>
    </xf>
    <xf numFmtId="0" fontId="4" fillId="0" borderId="0" xfId="0" applyFont="1" applyAlignment="1">
      <alignment horizontal="center"/>
    </xf>
    <xf numFmtId="0" fontId="4" fillId="0" borderId="0" xfId="0" applyFont="1"/>
    <xf numFmtId="0" fontId="0" fillId="6" borderId="0" xfId="0" applyFill="1"/>
    <xf numFmtId="165" fontId="2" fillId="2" borderId="0" xfId="0" applyNumberFormat="1" applyFont="1" applyFill="1" applyAlignment="1">
      <alignment horizontal="center"/>
    </xf>
    <xf numFmtId="164" fontId="2" fillId="2" borderId="0" xfId="0" applyNumberFormat="1" applyFont="1" applyFill="1" applyAlignment="1">
      <alignment horizontal="center"/>
    </xf>
    <xf numFmtId="165" fontId="2" fillId="7" borderId="0" xfId="0" applyNumberFormat="1" applyFont="1" applyFill="1" applyAlignment="1">
      <alignment horizontal="center"/>
    </xf>
    <xf numFmtId="164" fontId="2" fillId="7" borderId="0" xfId="0" applyNumberFormat="1" applyFont="1" applyFill="1" applyAlignment="1">
      <alignment horizontal="center"/>
    </xf>
    <xf numFmtId="1" fontId="2" fillId="7" borderId="0" xfId="0" applyNumberFormat="1" applyFont="1" applyFill="1" applyAlignment="1">
      <alignment horizontal="center"/>
    </xf>
    <xf numFmtId="0" fontId="2" fillId="7" borderId="0" xfId="0" applyFont="1" applyFill="1" applyAlignment="1">
      <alignment horizontal="center"/>
    </xf>
    <xf numFmtId="44" fontId="2" fillId="7" borderId="0" xfId="0" applyNumberFormat="1" applyFont="1" applyFill="1" applyAlignment="1">
      <alignment horizontal="center"/>
    </xf>
    <xf numFmtId="165" fontId="3" fillId="4" borderId="0" xfId="0" applyNumberFormat="1" applyFont="1" applyFill="1" applyAlignment="1">
      <alignment horizontal="center"/>
    </xf>
    <xf numFmtId="0" fontId="5" fillId="0" borderId="0" xfId="0" applyFont="1" applyAlignment="1">
      <alignment horizontal="center"/>
    </xf>
    <xf numFmtId="164" fontId="5" fillId="0" borderId="0" xfId="0" applyNumberFormat="1" applyFont="1" applyAlignment="1">
      <alignment horizontal="center"/>
    </xf>
    <xf numFmtId="165" fontId="5" fillId="0" borderId="0" xfId="0" applyNumberFormat="1" applyFont="1" applyAlignment="1">
      <alignment horizontal="center"/>
    </xf>
    <xf numFmtId="164" fontId="4" fillId="0" borderId="0" xfId="0" applyNumberFormat="1" applyFont="1" applyAlignment="1">
      <alignment horizontal="center"/>
    </xf>
    <xf numFmtId="165" fontId="4" fillId="0" borderId="0" xfId="0" applyNumberFormat="1" applyFont="1" applyAlignment="1">
      <alignment horizontal="center"/>
    </xf>
    <xf numFmtId="0" fontId="0" fillId="8" borderId="0" xfId="0" applyFill="1"/>
    <xf numFmtId="0" fontId="0" fillId="9" borderId="0" xfId="0" applyFill="1"/>
    <xf numFmtId="0" fontId="0" fillId="0" borderId="0" xfId="0" pivotButton="1"/>
    <xf numFmtId="0" fontId="0" fillId="0" borderId="0" xfId="0" applyAlignment="1">
      <alignment horizontal="left"/>
    </xf>
    <xf numFmtId="1" fontId="0" fillId="0" borderId="0" xfId="0" applyNumberFormat="1"/>
    <xf numFmtId="10" fontId="0" fillId="0" borderId="0" xfId="1" applyNumberFormat="1" applyFont="1" applyAlignment="1">
      <alignment horizontal="center"/>
    </xf>
    <xf numFmtId="10" fontId="0" fillId="0" borderId="0" xfId="1" applyNumberFormat="1" applyFont="1"/>
    <xf numFmtId="10" fontId="0" fillId="0" borderId="0" xfId="0" applyNumberFormat="1"/>
    <xf numFmtId="165" fontId="0" fillId="0" borderId="0" xfId="1" applyNumberFormat="1" applyFont="1"/>
    <xf numFmtId="0" fontId="3" fillId="4" borderId="0" xfId="0" applyFont="1" applyFill="1"/>
    <xf numFmtId="0" fontId="3" fillId="5" borderId="0" xfId="0" applyFont="1" applyFill="1"/>
    <xf numFmtId="0" fontId="3" fillId="4" borderId="0" xfId="0" applyFont="1" applyFill="1" applyAlignment="1">
      <alignment horizontal="left"/>
    </xf>
    <xf numFmtId="164" fontId="3" fillId="5" borderId="0" xfId="0" applyNumberFormat="1" applyFont="1" applyFill="1"/>
    <xf numFmtId="0" fontId="3" fillId="5" borderId="0" xfId="0" pivotButton="1" applyFont="1" applyFill="1"/>
    <xf numFmtId="0" fontId="0" fillId="0" borderId="0" xfId="0" applyNumberFormat="1"/>
    <xf numFmtId="0" fontId="2" fillId="2" borderId="0" xfId="0" applyFont="1" applyFill="1"/>
    <xf numFmtId="9" fontId="2" fillId="3" borderId="0" xfId="0" applyNumberFormat="1" applyFont="1" applyFill="1"/>
    <xf numFmtId="0" fontId="2" fillId="2" borderId="0" xfId="0" applyFont="1" applyFill="1" applyAlignment="1">
      <alignment horizontal="left"/>
    </xf>
    <xf numFmtId="165" fontId="2" fillId="3" borderId="0" xfId="0" applyNumberFormat="1" applyFont="1" applyFill="1"/>
    <xf numFmtId="0" fontId="2" fillId="2" borderId="0" xfId="0" pivotButton="1" applyFont="1" applyFill="1" applyAlignment="1">
      <alignment horizontal="center"/>
    </xf>
    <xf numFmtId="9" fontId="2" fillId="3" borderId="0" xfId="0" applyNumberFormat="1" applyFont="1" applyFill="1" applyAlignment="1">
      <alignment horizontal="center"/>
    </xf>
    <xf numFmtId="0" fontId="3" fillId="4" borderId="0" xfId="0" pivotButton="1" applyFont="1" applyFill="1" applyAlignment="1">
      <alignment horizontal="center"/>
    </xf>
  </cellXfs>
  <cellStyles count="2">
    <cellStyle name="Normal" xfId="0" builtinId="0"/>
    <cellStyle name="Percent" xfId="1" builtinId="5"/>
  </cellStyles>
  <dxfs count="279">
    <dxf>
      <alignment horizontal="center"/>
    </dxf>
    <dxf>
      <alignment horizontal="center"/>
    </dxf>
    <dxf>
      <numFmt numFmtId="14" formatCode="0.00%"/>
    </dxf>
    <dxf>
      <numFmt numFmtId="14" formatCode="0.00%"/>
    </dxf>
    <dxf>
      <alignment horizontal="center"/>
    </dxf>
    <dxf>
      <alignment horizontal="center"/>
    </dxf>
    <dxf>
      <numFmt numFmtId="14" formatCode="0.00%"/>
    </dxf>
    <dxf>
      <numFmt numFmtId="14" formatCode="0.00%"/>
    </dxf>
    <dxf>
      <alignment horizontal="center"/>
    </dxf>
    <dxf>
      <alignment horizontal="center"/>
    </dxf>
    <dxf>
      <numFmt numFmtId="14" formatCode="0.00%"/>
    </dxf>
    <dxf>
      <numFmt numFmtId="14" formatCode="0.00%"/>
    </dxf>
    <dxf>
      <alignment horizontal="center"/>
    </dxf>
    <dxf>
      <alignment horizontal="center"/>
    </dxf>
    <dxf>
      <numFmt numFmtId="14" formatCode="0.00%"/>
    </dxf>
    <dxf>
      <numFmt numFmtId="1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13" formatCode="0%"/>
    </dxf>
    <dxf>
      <numFmt numFmtId="165" formatCode="0.0%"/>
    </dxf>
    <dxf>
      <fill>
        <patternFill patternType="solid">
          <bgColor rgb="FFE68900"/>
        </patternFill>
      </fill>
    </dxf>
    <dxf>
      <fill>
        <patternFill patternType="solid">
          <bgColor rgb="FFE68900"/>
        </patternFill>
      </fill>
    </dxf>
    <dxf>
      <fill>
        <patternFill patternType="solid">
          <bgColor rgb="FFFFCC66"/>
        </patternFill>
      </fill>
    </dxf>
    <dxf>
      <fill>
        <patternFill patternType="solid">
          <bgColor rgb="FFFFCC66"/>
        </patternFill>
      </fill>
    </dxf>
    <dxf>
      <fill>
        <patternFill>
          <bgColor rgb="FFFF9900"/>
        </patternFill>
      </fill>
    </dxf>
    <dxf>
      <fill>
        <patternFill>
          <bgColor rgb="FFFF9900"/>
        </patternFill>
      </fill>
    </dxf>
    <dxf>
      <font>
        <color theme="5" tint="-0.249977111117893"/>
      </font>
    </dxf>
    <dxf>
      <font>
        <color theme="5" tint="-0.249977111117893"/>
      </font>
    </dxf>
    <dxf>
      <font>
        <color theme="5" tint="-0.249977111117893"/>
      </font>
    </dxf>
    <dxf>
      <font>
        <color theme="5" tint="-0.249977111117893"/>
      </font>
    </dxf>
    <dxf>
      <font>
        <color theme="5" tint="-0.249977111117893"/>
      </font>
    </dxf>
    <dxf>
      <font>
        <color theme="5" tint="-0.249977111117893"/>
      </font>
    </dxf>
    <dxf>
      <font>
        <color theme="5" tint="-0.249977111117893"/>
      </font>
    </dxf>
    <dxf>
      <font>
        <color theme="5" tint="-0.249977111117893"/>
      </font>
    </dxf>
    <dxf>
      <font>
        <color theme="5" tint="-0.249977111117893"/>
      </font>
    </dxf>
    <dxf>
      <font>
        <color theme="5" tint="-0.249977111117893"/>
      </font>
    </dxf>
    <dxf>
      <font>
        <color theme="5" tint="-0.249977111117893"/>
      </font>
    </dxf>
    <dxf>
      <fill>
        <patternFill>
          <bgColor rgb="FFFF9900"/>
        </patternFill>
      </fill>
    </dxf>
    <dxf>
      <fill>
        <patternFill>
          <bgColor rgb="FFFF9900"/>
        </patternFill>
      </fill>
    </dxf>
    <dxf>
      <fill>
        <patternFill patternType="solid">
          <bgColor rgb="FFFFCC66"/>
        </patternFill>
      </fill>
    </dxf>
    <dxf>
      <fill>
        <patternFill patternType="solid">
          <bgColor rgb="FFFFCC66"/>
        </patternFill>
      </fill>
    </dxf>
    <dxf>
      <fill>
        <patternFill patternType="solid">
          <bgColor rgb="FFFFCC66"/>
        </patternFill>
      </fill>
    </dxf>
    <dxf>
      <fill>
        <patternFill patternType="solid">
          <bgColor rgb="FFE68900"/>
        </patternFill>
      </fill>
    </dxf>
    <dxf>
      <fill>
        <patternFill patternType="solid">
          <bgColor rgb="FFE68900"/>
        </patternFill>
      </fill>
    </dxf>
    <dxf>
      <numFmt numFmtId="13" formatCode="0%"/>
    </dxf>
    <dxf>
      <numFmt numFmtId="165" formatCode="0.0%"/>
    </dxf>
    <dxf>
      <numFmt numFmtId="13" formatCode="0%"/>
    </dxf>
    <dxf>
      <numFmt numFmtId="165" formatCode="0.0%"/>
    </dxf>
    <dxf>
      <numFmt numFmtId="13" formatCode="0%"/>
    </dxf>
    <dxf>
      <numFmt numFmtId="13" formatCode="0%"/>
    </dxf>
    <dxf>
      <numFmt numFmtId="13" formatCode="0%"/>
    </dxf>
    <dxf>
      <fill>
        <patternFill patternType="solid">
          <bgColor rgb="FFFFDB01"/>
        </patternFill>
      </fill>
    </dxf>
    <dxf>
      <fill>
        <patternFill patternType="solid">
          <bgColor rgb="FFFFDB01"/>
        </patternFill>
      </fill>
    </dxf>
    <dxf>
      <fill>
        <patternFill patternType="solid">
          <bgColor rgb="FFFFE161"/>
        </patternFill>
      </fill>
    </dxf>
    <dxf>
      <fill>
        <patternFill patternType="solid">
          <bgColor rgb="FFFFE161"/>
        </patternFill>
      </fill>
    </dxf>
    <dxf>
      <font>
        <color rgb="FFE68900"/>
      </font>
    </dxf>
    <dxf>
      <font>
        <color rgb="FFE68900"/>
      </font>
    </dxf>
    <dxf>
      <font>
        <color rgb="FFE68900"/>
      </font>
    </dxf>
    <dxf>
      <font>
        <color rgb="FFE68900"/>
      </font>
    </dxf>
    <dxf>
      <font>
        <color rgb="FFE68900"/>
      </font>
    </dxf>
    <dxf>
      <font>
        <color rgb="FFE68900"/>
      </font>
    </dxf>
    <dxf>
      <font>
        <color rgb="FFE68900"/>
      </font>
    </dxf>
    <dxf>
      <font>
        <color rgb="FFE68900"/>
      </font>
    </dxf>
    <dxf>
      <font>
        <color rgb="FFE68900"/>
      </font>
    </dxf>
    <dxf>
      <font>
        <color rgb="FFE68900"/>
      </font>
    </dxf>
    <dxf>
      <fill>
        <patternFill patternType="solid">
          <bgColor rgb="FFFFE161"/>
        </patternFill>
      </fill>
    </dxf>
    <dxf>
      <fill>
        <patternFill patternType="solid">
          <bgColor rgb="FFFFE161"/>
        </patternFill>
      </fill>
    </dxf>
    <dxf>
      <fill>
        <patternFill patternType="solid">
          <bgColor rgb="FFFFDB01"/>
        </patternFill>
      </fill>
    </dxf>
    <dxf>
      <fill>
        <patternFill patternType="solid">
          <bgColor rgb="FFFFDB01"/>
        </patternFill>
      </fill>
    </dxf>
    <dxf>
      <numFmt numFmtId="14" formatCode="0.00%"/>
    </dxf>
    <dxf>
      <numFmt numFmtId="14" formatCode="0.00%"/>
    </dxf>
    <dxf>
      <numFmt numFmtId="165" formatCode="0.0%"/>
    </dxf>
    <dxf>
      <alignment horizontal="center"/>
    </dxf>
    <dxf>
      <alignment horizontal="center"/>
    </dxf>
    <dxf>
      <alignment horizontal="center"/>
    </dxf>
    <dxf>
      <alignment horizontal="center"/>
    </dxf>
    <dxf>
      <alignment horizontal="center"/>
    </dxf>
    <dxf>
      <numFmt numFmtId="164" formatCode="_(&quot;$&quot;* #,##0_);_(&quot;$&quot;* \(#,##0\);_(&quot;$&quot;* &quot;-&quot;??_);_(@_)"/>
    </dxf>
    <dxf>
      <font>
        <color rgb="FFE68900"/>
      </font>
    </dxf>
    <dxf>
      <font>
        <color rgb="FFE68900"/>
      </font>
    </dxf>
    <dxf>
      <font>
        <color rgb="FFE68900"/>
      </font>
    </dxf>
    <dxf>
      <font>
        <color rgb="FFE68900"/>
      </font>
    </dxf>
    <dxf>
      <font>
        <color rgb="FFE68900"/>
      </font>
    </dxf>
    <dxf>
      <fill>
        <patternFill>
          <bgColor rgb="FFFFE161"/>
        </patternFill>
      </fill>
    </dxf>
    <dxf>
      <fill>
        <patternFill>
          <bgColor rgb="FFFFE161"/>
        </patternFill>
      </fill>
    </dxf>
    <dxf>
      <fill>
        <patternFill>
          <bgColor rgb="FFFFDB01"/>
        </patternFill>
      </fill>
    </dxf>
    <dxf>
      <fill>
        <patternFill>
          <bgColor rgb="FFFFDB01"/>
        </patternFill>
      </fill>
    </dxf>
    <dxf>
      <font>
        <color rgb="FFFEBB00"/>
      </font>
    </dxf>
    <dxf>
      <font>
        <color rgb="FFFEBB00"/>
      </font>
    </dxf>
    <dxf>
      <font>
        <color rgb="FFFEBB00"/>
      </font>
    </dxf>
    <dxf>
      <font>
        <color rgb="FFFEBB00"/>
      </font>
    </dxf>
    <dxf>
      <font>
        <color rgb="FFFEBB00"/>
      </font>
    </dxf>
    <dxf>
      <fill>
        <patternFill patternType="solid">
          <bgColor rgb="FFFFFF99"/>
        </patternFill>
      </fill>
    </dxf>
    <dxf>
      <fill>
        <patternFill patternType="solid">
          <bgColor rgb="FFFFFF00"/>
        </patternFill>
      </fill>
    </dxf>
    <dxf>
      <fill>
        <patternFill patternType="solid">
          <bgColor rgb="FFFFFF00"/>
        </patternFill>
      </fill>
    </dxf>
    <dxf>
      <alignment horizontal="center"/>
    </dxf>
    <dxf>
      <alignment horizontal="center"/>
    </dxf>
    <dxf>
      <alignment horizontal="center"/>
    </dxf>
    <dxf>
      <alignment horizontal="center"/>
    </dxf>
    <dxf>
      <alignment horizontal="center"/>
    </dxf>
    <dxf>
      <alignment horizontal="center"/>
    </dxf>
    <dxf>
      <numFmt numFmtId="34" formatCode="_(&quot;$&quot;* #,##0.00_);_(&quot;$&quot;* \(#,##0.00\);_(&quot;$&quot;* &quot;-&quot;??_);_(@_)"/>
    </dxf>
    <dxf>
      <numFmt numFmtId="164" formatCode="_(&quot;$&quot;* #,##0_);_(&quot;$&quot;* \(#,##0\);_(&quot;$&quot;* &quot;-&quot;??_);_(@_)"/>
    </dxf>
    <dxf>
      <font>
        <color theme="5" tint="-0.249977111117893"/>
      </font>
    </dxf>
    <dxf>
      <font>
        <color theme="5" tint="-0.249977111117893"/>
      </font>
    </dxf>
    <dxf>
      <font>
        <color theme="5" tint="-0.249977111117893"/>
      </font>
    </dxf>
    <dxf>
      <font>
        <color theme="5" tint="-0.249977111117893"/>
      </font>
    </dxf>
    <dxf>
      <font>
        <color theme="5" tint="-0.249977111117893"/>
      </font>
    </dxf>
    <dxf>
      <fill>
        <patternFill patternType="solid">
          <bgColor rgb="FFFFCC66"/>
        </patternFill>
      </fill>
    </dxf>
    <dxf>
      <fill>
        <patternFill patternType="solid">
          <bgColor rgb="FFFFCC66"/>
        </patternFill>
      </fill>
    </dxf>
    <dxf>
      <fill>
        <patternFill patternType="solid">
          <bgColor rgb="FFFF9900"/>
        </patternFill>
      </fill>
    </dxf>
    <dxf>
      <fill>
        <patternFill patternType="solid">
          <bgColor rgb="FFFF9900"/>
        </patternFill>
      </fill>
    </dxf>
    <dxf>
      <font>
        <color rgb="FFFF9900"/>
      </font>
    </dxf>
    <dxf>
      <font>
        <color rgb="FFFF9900"/>
      </font>
    </dxf>
    <dxf>
      <alignment horizontal="center"/>
    </dxf>
    <dxf>
      <alignment horizontal="center"/>
    </dxf>
    <dxf>
      <alignment horizontal="center"/>
    </dxf>
    <dxf>
      <alignment horizontal="center"/>
    </dxf>
    <dxf>
      <alignment horizontal="center"/>
    </dxf>
    <dxf>
      <font>
        <color theme="4"/>
      </font>
    </dxf>
    <dxf>
      <font>
        <color theme="4"/>
      </font>
    </dxf>
    <dxf>
      <font>
        <color theme="4"/>
      </font>
    </dxf>
    <dxf>
      <font>
        <color theme="4"/>
      </font>
    </dxf>
    <dxf>
      <font>
        <color theme="4"/>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0"/>
      </font>
    </dxf>
    <dxf>
      <font>
        <color theme="0"/>
      </font>
    </dxf>
    <dxf>
      <font>
        <color theme="0"/>
      </font>
    </dxf>
    <dxf>
      <font>
        <color theme="0"/>
      </font>
    </dxf>
    <dxf>
      <font>
        <color theme="0"/>
      </font>
    </dxf>
    <dxf>
      <fill>
        <patternFill>
          <bgColor rgb="FF89B0FF"/>
        </patternFill>
      </fill>
    </dxf>
    <dxf>
      <fill>
        <patternFill>
          <bgColor rgb="FF89B0FF"/>
        </patternFill>
      </fill>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numFmt numFmtId="164" formatCode="_(&quot;$&quot;* #,##0_);_(&quot;$&quot;* \(#,##0\);_(&quot;$&quot;* &quot;-&quot;??_);_(@_)"/>
    </dxf>
    <dxf>
      <numFmt numFmtId="164" formatCode="_(&quot;$&quot;* #,##0_);_(&quot;$&quot;* \(#,##0\);_(&quot;$&quot;* &quot;-&quot;??_);_(@_)"/>
    </dxf>
    <dxf>
      <alignment horizontal="center"/>
    </dxf>
    <dxf>
      <alignment horizontal="center"/>
    </dxf>
    <dxf>
      <alignment horizontal="center"/>
    </dxf>
    <dxf>
      <alignment horizontal="center"/>
    </dxf>
    <dxf>
      <alignment horizontal="center"/>
    </dxf>
    <dxf>
      <alignment horizontal="center"/>
    </dxf>
    <dxf>
      <numFmt numFmtId="165" formatCode="0.0%"/>
    </dxf>
    <dxf>
      <numFmt numFmtId="165" formatCode="0.0%"/>
    </dxf>
    <dxf>
      <numFmt numFmtId="165" formatCode="0.0%"/>
    </dxf>
    <dxf>
      <numFmt numFmtId="165" formatCode="0.0%"/>
    </dxf>
    <dxf>
      <numFmt numFmtId="165" formatCode="0.0%"/>
    </dxf>
    <dxf>
      <alignment horizontal="center"/>
    </dxf>
    <dxf>
      <alignment horizontal="center"/>
    </dxf>
    <dxf>
      <alignment horizontal="center"/>
    </dxf>
    <dxf>
      <alignment horizontal="center"/>
    </dxf>
    <dxf>
      <alignment horizontal="center"/>
    </dxf>
    <dxf>
      <font>
        <color rgb="FFE68900"/>
      </font>
    </dxf>
    <dxf>
      <font>
        <color rgb="FFE68900"/>
      </font>
    </dxf>
    <dxf>
      <font>
        <color rgb="FFE68900"/>
      </font>
    </dxf>
    <dxf>
      <font>
        <color rgb="FFE68900"/>
      </font>
    </dxf>
    <dxf>
      <font>
        <color rgb="FFE68900"/>
      </font>
    </dxf>
    <dxf>
      <fill>
        <patternFill>
          <bgColor rgb="FFFFE161"/>
        </patternFill>
      </fill>
    </dxf>
    <dxf>
      <fill>
        <patternFill>
          <bgColor rgb="FFFFE161"/>
        </patternFill>
      </fill>
    </dxf>
    <dxf>
      <fill>
        <patternFill>
          <bgColor rgb="FFFFDB01"/>
        </patternFill>
      </fill>
    </dxf>
    <dxf>
      <fill>
        <patternFill>
          <bgColor rgb="FFFFDB01"/>
        </patternFill>
      </fill>
    </dxf>
    <dxf>
      <font>
        <color rgb="FFFEBB00"/>
      </font>
    </dxf>
    <dxf>
      <font>
        <color rgb="FFFEBB00"/>
      </font>
    </dxf>
    <dxf>
      <font>
        <color rgb="FFFEBB00"/>
      </font>
    </dxf>
    <dxf>
      <font>
        <color rgb="FFFEBB00"/>
      </font>
    </dxf>
    <dxf>
      <font>
        <color rgb="FFFEBB00"/>
      </font>
    </dxf>
    <dxf>
      <fill>
        <patternFill patternType="solid">
          <bgColor rgb="FFFFFF99"/>
        </patternFill>
      </fill>
    </dxf>
    <dxf>
      <fill>
        <patternFill patternType="solid">
          <bgColor rgb="FFFFFF00"/>
        </patternFill>
      </fill>
    </dxf>
    <dxf>
      <fill>
        <patternFill patternType="solid">
          <bgColor rgb="FFFFFF00"/>
        </patternFill>
      </fill>
    </dxf>
    <dxf>
      <alignment horizontal="center"/>
    </dxf>
    <dxf>
      <alignment horizontal="center"/>
    </dxf>
    <dxf>
      <alignment horizontal="center"/>
    </dxf>
    <dxf>
      <alignment horizontal="center"/>
    </dxf>
    <dxf>
      <alignment horizontal="center"/>
    </dxf>
    <dxf>
      <alignment horizontal="center"/>
    </dxf>
    <dxf>
      <numFmt numFmtId="34" formatCode="_(&quot;$&quot;* #,##0.00_);_(&quot;$&quot;* \(#,##0.00\);_(&quot;$&quot;* &quot;-&quot;??_);_(@_)"/>
    </dxf>
    <dxf>
      <numFmt numFmtId="164" formatCode="_(&quot;$&quot;* #,##0_);_(&quot;$&quot;* \(#,##0\);_(&quot;$&quot;* &quot;-&quot;??_);_(@_)"/>
    </dxf>
    <dxf>
      <numFmt numFmtId="34" formatCode="_(&quot;$&quot;* #,##0.00_);_(&quot;$&quot;* \(#,##0.00\);_(&quot;$&quot;* &quot;-&quot;??_);_(@_)"/>
    </dxf>
    <dxf>
      <numFmt numFmtId="1" formatCode="0"/>
    </dxf>
    <dxf>
      <numFmt numFmtId="1" formatCode="0"/>
    </dxf>
    <dxf>
      <numFmt numFmtId="1" formatCode="0"/>
    </dxf>
    <dxf>
      <numFmt numFmtId="164" formatCode="_(&quot;$&quot;* #,##0_);_(&quot;$&quot;* \(#,##0\);_(&quot;$&quot;* &quot;-&quot;??_);_(@_)"/>
    </dxf>
    <dxf>
      <numFmt numFmtId="164" formatCode="_(&quot;$&quot;* #,##0_);_(&quot;$&quot;* \(#,##0\);_(&quot;$&quot;* &quot;-&quot;??_);_(@_)"/>
    </dxf>
    <dxf>
      <numFmt numFmtId="164" formatCode="_(&quot;$&quot;* #,##0_);_(&quot;$&quot;* \(#,##0\);_(&quot;$&quot;* &quot;-&quot;??_);_(@_)"/>
    </dxf>
    <dxf>
      <numFmt numFmtId="164" formatCode="_(&quot;$&quot;* #,##0_);_(&quot;$&quot;* \(#,##0\);_(&quot;$&quot;* &quot;-&quot;??_);_(@_)"/>
    </dxf>
    <dxf>
      <fill>
        <patternFill>
          <fgColor rgb="FFFFCC66"/>
        </patternFill>
      </fill>
    </dxf>
    <dxf>
      <fill>
        <patternFill>
          <fgColor rgb="FFFFCC66"/>
        </patternFill>
      </fill>
    </dxf>
    <dxf>
      <font>
        <color theme="5" tint="-0.249977111117893"/>
      </font>
      <fill>
        <patternFill patternType="solid">
          <fgColor indexed="64"/>
          <bgColor rgb="FFFF9900"/>
        </patternFill>
      </fill>
      <alignment horizontal="center"/>
    </dxf>
    <dxf>
      <font>
        <color theme="5" tint="-0.249977111117893"/>
      </font>
      <fill>
        <patternFill patternType="solid">
          <fgColor indexed="64"/>
          <bgColor rgb="FFFF9900"/>
        </patternFill>
      </fill>
      <alignment horizontal="center"/>
    </dxf>
    <dxf>
      <font>
        <color theme="5" tint="-0.249977111117893"/>
      </font>
      <fill>
        <patternFill patternType="solid">
          <fgColor indexed="64"/>
          <bgColor rgb="FFFF9900"/>
        </patternFill>
      </fill>
      <alignment horizontal="center"/>
    </dxf>
    <dxf>
      <font>
        <color theme="5" tint="-0.249977111117893"/>
      </font>
      <fill>
        <patternFill patternType="solid">
          <fgColor indexed="64"/>
          <bgColor rgb="FFFF9900"/>
        </patternFill>
      </fill>
      <alignment horizontal="center"/>
    </dxf>
    <dxf>
      <font>
        <color theme="5" tint="-0.249977111117893"/>
      </font>
      <fill>
        <patternFill patternType="solid">
          <fgColor indexed="64"/>
          <bgColor rgb="FFFF9900"/>
        </patternFill>
      </fill>
      <alignment horizontal="center"/>
    </dxf>
    <dxf>
      <font>
        <color theme="5" tint="-0.249977111117893"/>
      </font>
      <fill>
        <patternFill patternType="solid">
          <fgColor indexed="64"/>
          <bgColor rgb="FFFF9900"/>
        </patternFill>
      </fill>
      <alignment horizontal="center"/>
    </dxf>
    <dxf>
      <numFmt numFmtId="165" formatCode="0.0%"/>
    </dxf>
    <dxf>
      <numFmt numFmtId="165" formatCode="0.0%"/>
    </dxf>
    <dxf>
      <numFmt numFmtId="165" formatCode="0.0%"/>
    </dxf>
    <dxf>
      <numFmt numFmtId="165" formatCode="0.0%"/>
    </dxf>
    <dxf>
      <numFmt numFmtId="165" formatCode="0.0%"/>
    </dxf>
    <dxf>
      <font>
        <color rgb="FFE68900"/>
      </font>
      <fill>
        <patternFill patternType="solid">
          <fgColor indexed="64"/>
          <bgColor rgb="FFFFDB01"/>
        </patternFill>
      </fill>
    </dxf>
    <dxf>
      <font>
        <color rgb="FFE68900"/>
      </font>
      <fill>
        <patternFill patternType="solid">
          <fgColor indexed="64"/>
          <bgColor rgb="FFFFDB01"/>
        </patternFill>
      </fill>
    </dxf>
    <dxf>
      <font>
        <color rgb="FFE68900"/>
      </font>
      <fill>
        <patternFill patternType="solid">
          <fgColor indexed="64"/>
          <bgColor rgb="FFFFDB01"/>
        </patternFill>
      </fill>
    </dxf>
    <dxf>
      <font>
        <color rgb="FFE68900"/>
      </font>
      <fill>
        <patternFill patternType="solid">
          <fgColor indexed="64"/>
          <bgColor rgb="FFFFDB01"/>
        </patternFill>
      </fill>
    </dxf>
    <dxf>
      <font>
        <color rgb="FFE68900"/>
      </font>
      <fill>
        <patternFill patternType="solid">
          <fgColor indexed="64"/>
          <bgColor rgb="FFFFDB01"/>
        </patternFill>
      </fill>
    </dxf>
    <dxf>
      <alignment horizontal="center"/>
    </dxf>
    <dxf>
      <alignment horizontal="center"/>
    </dxf>
    <dxf>
      <alignment horizontal="center"/>
    </dxf>
    <dxf>
      <alignment horizontal="center"/>
    </dxf>
    <dxf>
      <alignment horizontal="center"/>
    </dxf>
    <dxf>
      <font>
        <color theme="3" tint="9.9978637043366805E-2"/>
      </font>
    </dxf>
    <dxf>
      <font>
        <color theme="3" tint="9.9978637043366805E-2"/>
      </font>
    </dxf>
    <dxf>
      <font>
        <color theme="3" tint="9.9978637043366805E-2"/>
      </font>
    </dxf>
    <dxf>
      <font>
        <color theme="3" tint="9.9978637043366805E-2"/>
      </font>
    </dxf>
    <dxf>
      <font>
        <color theme="3" tint="9.9978637043366805E-2"/>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0"/>
      </font>
    </dxf>
    <dxf>
      <font>
        <color theme="0"/>
      </font>
    </dxf>
    <dxf>
      <font>
        <color theme="0"/>
      </font>
    </dxf>
    <dxf>
      <font>
        <color theme="0"/>
      </font>
    </dxf>
    <dxf>
      <font>
        <color theme="0"/>
      </font>
    </dxf>
    <dxf>
      <fill>
        <patternFill>
          <bgColor rgb="FF89B0FF"/>
        </patternFill>
      </fill>
    </dxf>
    <dxf>
      <fill>
        <patternFill>
          <bgColor rgb="FF89B0FF"/>
        </patternFill>
      </fill>
    </dxf>
    <dxf>
      <fill>
        <patternFill patternType="solid">
          <bgColor rgb="FF002060"/>
        </patternFill>
      </fill>
    </dxf>
    <dxf>
      <fill>
        <patternFill patternType="solid">
          <bgColor rgb="FF002060"/>
        </patternFill>
      </fill>
    </dxf>
    <dxf>
      <fill>
        <patternFill patternType="solid">
          <bgColor rgb="FF002060"/>
        </patternFill>
      </fill>
    </dxf>
    <dxf>
      <fill>
        <patternFill patternType="solid">
          <bgColor rgb="FF002060"/>
        </patternFill>
      </fill>
    </dxf>
    <dxf>
      <numFmt numFmtId="164" formatCode="_(&quot;$&quot;* #,##0_);_(&quot;$&quot;* \(#,##0\);_(&quot;$&quot;* &quot;-&quot;??_);_(@_)"/>
    </dxf>
    <dxf>
      <numFmt numFmtId="164" formatCode="_(&quot;$&quot;* #,##0_);_(&quot;$&quot;* \(#,##0\);_(&quot;$&quot;* &quot;-&quot;??_);_(@_)"/>
    </dxf>
    <dxf>
      <alignment horizontal="center"/>
    </dxf>
    <dxf>
      <alignment horizontal="center"/>
    </dxf>
    <dxf>
      <alignment horizontal="center"/>
    </dxf>
    <dxf>
      <alignment horizontal="center"/>
    </dxf>
    <dxf>
      <alignment horizontal="center"/>
    </dxf>
    <dxf>
      <alignment horizontal="center"/>
    </dxf>
    <dxf>
      <numFmt numFmtId="165" formatCode="0.0%"/>
    </dxf>
    <dxf>
      <numFmt numFmtId="165" formatCode="0.0%"/>
    </dxf>
    <dxf>
      <font>
        <color theme="5" tint="-0.249977111117893"/>
      </font>
    </dxf>
    <dxf>
      <font>
        <color theme="5" tint="-0.249977111117893"/>
      </font>
    </dxf>
    <dxf>
      <font>
        <color theme="5" tint="-0.249977111117893"/>
      </font>
    </dxf>
    <dxf>
      <font>
        <color theme="5" tint="-0.249977111117893"/>
      </font>
    </dxf>
    <dxf>
      <font>
        <color theme="5" tint="-0.249977111117893"/>
      </font>
    </dxf>
    <dxf>
      <fill>
        <patternFill patternType="solid">
          <bgColor rgb="FFFFCC66"/>
        </patternFill>
      </fill>
    </dxf>
    <dxf>
      <fill>
        <patternFill patternType="solid">
          <bgColor rgb="FFFFCC66"/>
        </patternFill>
      </fill>
    </dxf>
    <dxf>
      <fill>
        <patternFill patternType="solid">
          <bgColor rgb="FFFF9900"/>
        </patternFill>
      </fill>
    </dxf>
    <dxf>
      <fill>
        <patternFill patternType="solid">
          <bgColor rgb="FFFF9900"/>
        </patternFill>
      </fill>
    </dxf>
    <dxf>
      <font>
        <color rgb="FFFF9900"/>
      </font>
    </dxf>
    <dxf>
      <font>
        <color rgb="FFFF9900"/>
      </font>
    </dxf>
    <dxf>
      <alignment horizontal="center"/>
    </dxf>
    <dxf>
      <alignment horizontal="center"/>
    </dxf>
    <dxf>
      <alignment horizontal="center"/>
    </dxf>
    <dxf>
      <alignment horizontal="center"/>
    </dxf>
    <dxf>
      <alignment horizontal="center"/>
    </dxf>
    <dxf>
      <font>
        <color theme="3" tint="9.9978637043366805E-2"/>
      </font>
    </dxf>
    <dxf>
      <alignment horizontal="center"/>
    </dxf>
    <dxf>
      <alignment horizontal="center"/>
    </dxf>
    <dxf>
      <alignment horizontal="center"/>
    </dxf>
    <dxf>
      <alignment horizontal="center"/>
    </dxf>
    <dxf>
      <alignment horizontal="center"/>
    </dxf>
    <dxf>
      <numFmt numFmtId="164" formatCode="_(&quot;$&quot;* #,##0_);_(&quot;$&quot;* \(#,##0\);_(&quot;$&quot;* &quot;-&quot;??_);_(@_)"/>
    </dxf>
    <dxf>
      <font>
        <b val="0"/>
        <i val="0"/>
        <strike val="0"/>
        <sz val="36"/>
        <color rgb="FF006098"/>
        <name val="Sequel"/>
        <scheme val="none"/>
      </font>
    </dxf>
    <dxf>
      <font>
        <b/>
        <i val="0"/>
        <sz val="11"/>
        <color rgb="FFE68900"/>
      </font>
      <fill>
        <patternFill>
          <bgColor rgb="FFFFDB01"/>
        </patternFill>
      </fill>
    </dxf>
    <dxf>
      <font>
        <color rgb="FFE68900"/>
      </font>
      <fill>
        <patternFill>
          <bgColor rgb="FFFFE161"/>
        </patternFill>
      </fill>
    </dxf>
  </dxfs>
  <tableStyles count="2" defaultTableStyle="TableStyleMedium2" defaultPivotStyle="PivotStyleLight16">
    <tableStyle name="Slicer Style 1" pivot="0" table="0" count="4" xr9:uid="{4B925F37-B9B8-4476-8F13-33762F1EDA3B}">
      <tableStyleElement type="wholeTable" dxfId="278"/>
      <tableStyleElement type="headerRow" dxfId="277"/>
    </tableStyle>
    <tableStyle name="Slicer Style 4" pivot="0" table="0" count="5" xr9:uid="{F14E7A99-44B2-4477-BC4E-58E2E1C5A686}">
      <tableStyleElement type="headerRow" dxfId="276"/>
    </tableStyle>
  </tableStyles>
  <colors>
    <mruColors>
      <color rgb="FF006098"/>
      <color rgb="FFEA0000"/>
      <color rgb="FFFF9900"/>
      <color rgb="FFFFCC66"/>
      <color rgb="FFE68900"/>
      <color rgb="FFFFDB01"/>
      <color rgb="FFFFE161"/>
      <color rgb="FFFDE021"/>
      <color rgb="FFD7282F"/>
      <color rgb="FFFEDB0A"/>
    </mruColors>
  </colors>
  <extLst>
    <ext xmlns:x14="http://schemas.microsoft.com/office/spreadsheetml/2009/9/main" uri="{46F421CA-312F-682f-3DD2-61675219B42D}">
      <x14:dxfs count="6">
        <dxf>
          <font>
            <b val="0"/>
            <i val="0"/>
            <sz val="36"/>
            <color rgb="FFFEDB0A"/>
            <name val="Bebas Kai"/>
            <family val="5"/>
            <scheme val="none"/>
          </font>
        </dxf>
        <dxf>
          <font>
            <sz val="36"/>
            <color rgb="FFFEDB0A"/>
            <name val="Bebas Kai"/>
            <family val="5"/>
            <scheme val="none"/>
          </font>
        </dxf>
        <dxf>
          <font>
            <b val="0"/>
            <i val="0"/>
            <sz val="36"/>
            <color theme="0"/>
            <name val="Bebas Kai"/>
            <family val="5"/>
            <scheme val="none"/>
          </font>
          <fill>
            <patternFill>
              <bgColor rgb="FFEA0000"/>
            </patternFill>
          </fill>
        </dxf>
        <dxf>
          <font>
            <b val="0"/>
            <i val="0"/>
            <sz val="36"/>
            <color rgb="FFEA0000"/>
            <name val="Bebas Kai"/>
            <family val="5"/>
            <scheme val="none"/>
          </font>
        </dxf>
        <dxf>
          <font>
            <color rgb="FFE68900"/>
          </font>
          <fill>
            <patternFill>
              <bgColor rgb="FFFFDB01"/>
            </patternFill>
          </fill>
        </dxf>
        <dxf>
          <font>
            <color rgb="FFE68900"/>
          </font>
          <fill>
            <patternFill>
              <bgColor rgb="FFFFF189"/>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5"/>
            <x14:slicerStyleElement type="selectedItemWithData" dxfId="4"/>
          </x14:slicerStyleElements>
        </x14:slicerStyle>
        <x14:slicerStyle name="Slicer Style 4">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pivotCacheDefinition" Target="pivotCache/pivotCacheDefinition6.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pivotCacheDefinition" Target="pivotCache/pivotCacheDefinition9.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5.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0" Type="http://schemas.openxmlformats.org/officeDocument/2006/relationships/pivotCacheDefinition" Target="pivotCache/pivotCacheDefinition8.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pivotCacheDefinition" Target="pivotCache/pivotCacheDefinition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1.xml"/><Relationship Id="rId27" Type="http://schemas.openxmlformats.org/officeDocument/2006/relationships/powerPivotData" Target="model/item.data"/></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3600" b="0" i="0" u="none" strike="noStrike" kern="1200" spc="0" baseline="0">
                <a:ln w="203200">
                  <a:solidFill>
                    <a:srgbClr val="FEDB0A"/>
                  </a:solidFill>
                </a:ln>
                <a:solidFill>
                  <a:srgbClr val="FEDB0A"/>
                </a:solidFill>
                <a:latin typeface="Vegan Style Personal Use" pitchFamily="2" charset="0"/>
                <a:ea typeface="+mn-ea"/>
                <a:cs typeface="+mn-cs"/>
              </a:defRPr>
            </a:pPr>
            <a:r>
              <a:rPr lang="en-US" sz="3600">
                <a:ln w="203200">
                  <a:solidFill>
                    <a:srgbClr val="FEDB0A"/>
                  </a:solidFill>
                </a:ln>
                <a:solidFill>
                  <a:srgbClr val="FEDB0A"/>
                </a:solidFill>
                <a:latin typeface="Vegan Style Personal Use" pitchFamily="2" charset="0"/>
              </a:rPr>
              <a:t>Revenue  vs  Total  </a:t>
            </a:r>
            <a:r>
              <a:rPr lang="en-US" sz="3600" spc="200" baseline="0">
                <a:ln w="203200">
                  <a:solidFill>
                    <a:srgbClr val="FEDB0A"/>
                  </a:solidFill>
                </a:ln>
                <a:solidFill>
                  <a:srgbClr val="FEDB0A"/>
                </a:solidFill>
                <a:latin typeface="Vegan Style Personal Use" pitchFamily="2" charset="0"/>
              </a:rPr>
              <a:t>St</a:t>
            </a:r>
            <a:r>
              <a:rPr lang="en-US" sz="3600">
                <a:ln w="203200">
                  <a:solidFill>
                    <a:srgbClr val="FEDB0A"/>
                  </a:solidFill>
                </a:ln>
                <a:solidFill>
                  <a:srgbClr val="FEDB0A"/>
                </a:solidFill>
                <a:latin typeface="Vegan Style Personal Use" pitchFamily="2" charset="0"/>
              </a:rPr>
              <a:t>ores</a:t>
            </a:r>
          </a:p>
        </c:rich>
      </c:tx>
      <c:overlay val="0"/>
      <c:spPr>
        <a:noFill/>
        <a:ln>
          <a:noFill/>
        </a:ln>
        <a:effectLst/>
      </c:spPr>
      <c:txPr>
        <a:bodyPr rot="0" spcFirstLastPara="1" vertOverflow="ellipsis" vert="horz" wrap="square" anchor="ctr" anchorCtr="1"/>
        <a:lstStyle/>
        <a:p>
          <a:pPr>
            <a:defRPr sz="3600" b="0" i="0" u="none" strike="noStrike" kern="1200" spc="0" baseline="0">
              <a:ln w="203200">
                <a:solidFill>
                  <a:srgbClr val="FEDB0A"/>
                </a:solidFill>
              </a:ln>
              <a:solidFill>
                <a:srgbClr val="FEDB0A"/>
              </a:solidFill>
              <a:latin typeface="Vegan Style Personal Use" pitchFamily="2" charset="0"/>
              <a:ea typeface="+mn-ea"/>
              <a:cs typeface="+mn-cs"/>
            </a:defRPr>
          </a:pPr>
          <a:endParaRPr lang="en-US"/>
        </a:p>
      </c:txPr>
    </c:title>
    <c:autoTitleDeleted val="0"/>
    <c:plotArea>
      <c:layout/>
      <c:barChart>
        <c:barDir val="col"/>
        <c:grouping val="clustered"/>
        <c:varyColors val="0"/>
        <c:ser>
          <c:idx val="0"/>
          <c:order val="0"/>
          <c:tx>
            <c:strRef>
              <c:f>Data!$A$1</c:f>
              <c:strCache>
                <c:ptCount val="1"/>
                <c:pt idx="0">
                  <c:v>Year</c:v>
                </c:pt>
              </c:strCache>
              <c:extLst xmlns:c15="http://schemas.microsoft.com/office/drawing/2012/chart"/>
            </c:strRef>
          </c:tx>
          <c:spPr>
            <a:solidFill>
              <a:schemeClr val="accent1"/>
            </a:solidFill>
            <a:ln>
              <a:noFill/>
            </a:ln>
            <a:effectLst/>
          </c:spPr>
          <c:invertIfNegative val="0"/>
          <c:cat>
            <c:numRef>
              <c:f>Data!$A$2:$A$7</c:f>
              <c:numCache>
                <c:formatCode>General</c:formatCode>
                <c:ptCount val="6"/>
                <c:pt idx="0">
                  <c:v>2020</c:v>
                </c:pt>
                <c:pt idx="1">
                  <c:v>2021</c:v>
                </c:pt>
                <c:pt idx="2">
                  <c:v>2022</c:v>
                </c:pt>
                <c:pt idx="3">
                  <c:v>2023</c:v>
                </c:pt>
                <c:pt idx="4">
                  <c:v>2024</c:v>
                </c:pt>
                <c:pt idx="5">
                  <c:v>2025</c:v>
                </c:pt>
              </c:numCache>
            </c:numRef>
          </c:cat>
          <c:val>
            <c:numRef>
              <c:f>Data!$A$2:$A$7</c:f>
              <c:numCache>
                <c:formatCode>General</c:formatCode>
                <c:ptCount val="6"/>
                <c:pt idx="0">
                  <c:v>2020</c:v>
                </c:pt>
                <c:pt idx="1">
                  <c:v>2021</c:v>
                </c:pt>
                <c:pt idx="2">
                  <c:v>2022</c:v>
                </c:pt>
                <c:pt idx="3">
                  <c:v>2023</c:v>
                </c:pt>
                <c:pt idx="4">
                  <c:v>2024</c:v>
                </c:pt>
                <c:pt idx="5">
                  <c:v>2025</c:v>
                </c:pt>
              </c:numCache>
            </c:numRef>
          </c:val>
          <c:extLst xmlns:c15="http://schemas.microsoft.com/office/drawing/2012/chart">
            <c:ext xmlns:c16="http://schemas.microsoft.com/office/drawing/2014/chart" uri="{C3380CC4-5D6E-409C-BE32-E72D297353CC}">
              <c16:uniqueId val="{00000002-2EE7-4172-AD8C-0A5C6158C13A}"/>
            </c:ext>
          </c:extLst>
        </c:ser>
        <c:ser>
          <c:idx val="1"/>
          <c:order val="1"/>
          <c:tx>
            <c:strRef>
              <c:f>Data!$B$1</c:f>
              <c:strCache>
                <c:ptCount val="1"/>
                <c:pt idx="0">
                  <c:v> Revenue </c:v>
                </c:pt>
              </c:strCache>
            </c:strRef>
          </c:tx>
          <c:spPr>
            <a:solidFill>
              <a:srgbClr val="EA0000"/>
            </a:solidFill>
            <a:ln>
              <a:noFill/>
            </a:ln>
            <a:effectLst/>
          </c:spPr>
          <c:invertIfNegative val="0"/>
          <c:cat>
            <c:numRef>
              <c:f>Data!$A$2:$A$7</c:f>
              <c:numCache>
                <c:formatCode>General</c:formatCode>
                <c:ptCount val="6"/>
                <c:pt idx="0">
                  <c:v>2020</c:v>
                </c:pt>
                <c:pt idx="1">
                  <c:v>2021</c:v>
                </c:pt>
                <c:pt idx="2">
                  <c:v>2022</c:v>
                </c:pt>
                <c:pt idx="3">
                  <c:v>2023</c:v>
                </c:pt>
                <c:pt idx="4">
                  <c:v>2024</c:v>
                </c:pt>
                <c:pt idx="5">
                  <c:v>2025</c:v>
                </c:pt>
              </c:numCache>
            </c:numRef>
          </c:cat>
          <c:val>
            <c:numRef>
              <c:f>Data!$B$2:$B$7</c:f>
              <c:numCache>
                <c:formatCode>_("$"* #,##0_);_("$"* \(#,##0\);_("$"* "-"??_);_(@_)</c:formatCode>
                <c:ptCount val="6"/>
                <c:pt idx="0">
                  <c:v>327413000</c:v>
                </c:pt>
                <c:pt idx="1">
                  <c:v>497876000</c:v>
                </c:pt>
                <c:pt idx="2">
                  <c:v>739012000</c:v>
                </c:pt>
                <c:pt idx="3">
                  <c:v>965776000</c:v>
                </c:pt>
                <c:pt idx="4">
                  <c:v>1281015000</c:v>
                </c:pt>
                <c:pt idx="5">
                  <c:v>1638159000</c:v>
                </c:pt>
              </c:numCache>
            </c:numRef>
          </c:val>
          <c:extLst>
            <c:ext xmlns:c16="http://schemas.microsoft.com/office/drawing/2014/chart" uri="{C3380CC4-5D6E-409C-BE32-E72D297353CC}">
              <c16:uniqueId val="{00000000-2EE7-4172-AD8C-0A5C6158C13A}"/>
            </c:ext>
          </c:extLst>
        </c:ser>
        <c:dLbls>
          <c:showLegendKey val="0"/>
          <c:showVal val="0"/>
          <c:showCatName val="0"/>
          <c:showSerName val="0"/>
          <c:showPercent val="0"/>
          <c:showBubbleSize val="0"/>
        </c:dLbls>
        <c:gapWidth val="219"/>
        <c:overlap val="-27"/>
        <c:axId val="1941454272"/>
        <c:axId val="1941454752"/>
        <c:extLst/>
      </c:barChart>
      <c:lineChart>
        <c:grouping val="standard"/>
        <c:varyColors val="0"/>
        <c:ser>
          <c:idx val="2"/>
          <c:order val="2"/>
          <c:tx>
            <c:strRef>
              <c:f>Data!$K$1</c:f>
              <c:strCache>
                <c:ptCount val="1"/>
                <c:pt idx="0">
                  <c:v>Total Stores</c:v>
                </c:pt>
              </c:strCache>
            </c:strRef>
          </c:tx>
          <c:spPr>
            <a:ln w="47625" cap="rnd">
              <a:solidFill>
                <a:srgbClr val="FEDB0A"/>
              </a:solidFill>
              <a:round/>
            </a:ln>
            <a:effectLst/>
          </c:spPr>
          <c:marker>
            <c:symbol val="circle"/>
            <c:size val="12"/>
            <c:spPr>
              <a:solidFill>
                <a:srgbClr val="FEDB0A"/>
              </a:solidFill>
              <a:ln w="165100">
                <a:noFill/>
              </a:ln>
              <a:effectLst/>
            </c:spPr>
          </c:marker>
          <c:val>
            <c:numRef>
              <c:f>Data!$K$2:$K$7</c:f>
              <c:numCache>
                <c:formatCode>0</c:formatCode>
                <c:ptCount val="6"/>
                <c:pt idx="0">
                  <c:v>441</c:v>
                </c:pt>
                <c:pt idx="1">
                  <c:v>538</c:v>
                </c:pt>
                <c:pt idx="2">
                  <c:v>671</c:v>
                </c:pt>
                <c:pt idx="3">
                  <c:v>831</c:v>
                </c:pt>
                <c:pt idx="4">
                  <c:v>982</c:v>
                </c:pt>
                <c:pt idx="5">
                  <c:v>1136</c:v>
                </c:pt>
              </c:numCache>
            </c:numRef>
          </c:val>
          <c:smooth val="0"/>
          <c:extLst>
            <c:ext xmlns:c16="http://schemas.microsoft.com/office/drawing/2014/chart" uri="{C3380CC4-5D6E-409C-BE32-E72D297353CC}">
              <c16:uniqueId val="{00000001-2EE7-4172-AD8C-0A5C6158C13A}"/>
            </c:ext>
          </c:extLst>
        </c:ser>
        <c:dLbls>
          <c:showLegendKey val="0"/>
          <c:showVal val="0"/>
          <c:showCatName val="0"/>
          <c:showSerName val="0"/>
          <c:showPercent val="0"/>
          <c:showBubbleSize val="0"/>
        </c:dLbls>
        <c:marker val="1"/>
        <c:smooth val="0"/>
        <c:axId val="1941444672"/>
        <c:axId val="1941460992"/>
      </c:lineChart>
      <c:catAx>
        <c:axId val="1941454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bg1"/>
                </a:solidFill>
                <a:latin typeface="Bebas Kai" panose="04050603020B02020204" pitchFamily="82" charset="0"/>
                <a:ea typeface="+mn-ea"/>
                <a:cs typeface="+mn-cs"/>
              </a:defRPr>
            </a:pPr>
            <a:endParaRPr lang="en-US"/>
          </a:p>
        </c:txPr>
        <c:crossAx val="1941454752"/>
        <c:crosses val="autoZero"/>
        <c:auto val="1"/>
        <c:lblAlgn val="ctr"/>
        <c:lblOffset val="100"/>
        <c:noMultiLvlLbl val="0"/>
      </c:catAx>
      <c:valAx>
        <c:axId val="1941454752"/>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2400" b="0" i="0" u="none" strike="noStrike" kern="1200" baseline="0">
                <a:solidFill>
                  <a:schemeClr val="bg1"/>
                </a:solidFill>
                <a:latin typeface="Bebas Kai" panose="04050603020B02020204" pitchFamily="82" charset="0"/>
                <a:ea typeface="+mn-ea"/>
                <a:cs typeface="+mn-cs"/>
              </a:defRPr>
            </a:pPr>
            <a:endParaRPr lang="en-US"/>
          </a:p>
        </c:txPr>
        <c:crossAx val="1941454272"/>
        <c:crosses val="autoZero"/>
        <c:crossBetween val="between"/>
        <c:dispUnits>
          <c:builtInUnit val="thousands"/>
          <c:dispUnitsLbl>
            <c:spPr>
              <a:noFill/>
              <a:ln>
                <a:noFill/>
              </a:ln>
              <a:effectLst/>
            </c:spPr>
            <c:txPr>
              <a:bodyPr rot="-5400000" spcFirstLastPara="1" vertOverflow="ellipsis" vert="horz" wrap="square" anchor="ctr" anchorCtr="1"/>
              <a:lstStyle/>
              <a:p>
                <a:pPr>
                  <a:defRPr sz="1400" b="0" i="0" u="none" strike="noStrike" kern="1200" baseline="0">
                    <a:solidFill>
                      <a:schemeClr val="bg1"/>
                    </a:solidFill>
                    <a:latin typeface="Sequel" panose="00000500000000000000" pitchFamily="2" charset="0"/>
                    <a:ea typeface="+mn-ea"/>
                    <a:cs typeface="+mn-cs"/>
                  </a:defRPr>
                </a:pPr>
                <a:endParaRPr lang="en-US"/>
              </a:p>
            </c:txPr>
          </c:dispUnitsLbl>
        </c:dispUnits>
      </c:valAx>
      <c:valAx>
        <c:axId val="1941460992"/>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2400" b="0" i="0" u="none" strike="noStrike" kern="1200" baseline="0">
                <a:solidFill>
                  <a:schemeClr val="bg1"/>
                </a:solidFill>
                <a:latin typeface="Bebas Kai" panose="04050603020B02020204" pitchFamily="82" charset="0"/>
                <a:ea typeface="+mn-ea"/>
                <a:cs typeface="+mn-cs"/>
              </a:defRPr>
            </a:pPr>
            <a:endParaRPr lang="en-US"/>
          </a:p>
        </c:txPr>
        <c:crossAx val="1941444672"/>
        <c:crosses val="max"/>
        <c:crossBetween val="between"/>
      </c:valAx>
      <c:catAx>
        <c:axId val="1941444672"/>
        <c:scaling>
          <c:orientation val="minMax"/>
        </c:scaling>
        <c:delete val="1"/>
        <c:axPos val="b"/>
        <c:majorTickMark val="out"/>
        <c:minorTickMark val="none"/>
        <c:tickLblPos val="nextTo"/>
        <c:crossAx val="1941460992"/>
        <c:crosses val="autoZero"/>
        <c:auto val="1"/>
        <c:lblAlgn val="ctr"/>
        <c:lblOffset val="100"/>
        <c:noMultiLvlLbl val="0"/>
      </c:cat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1800" b="0" i="0" u="none" strike="noStrike" kern="1200" baseline="0">
              <a:solidFill>
                <a:schemeClr val="bg1"/>
              </a:solidFill>
              <a:latin typeface="Sequel" panose="00000500000000000000" pitchFamily="2"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3600" b="0" i="0" u="none" strike="noStrike" kern="1200" spc="0" baseline="0">
                <a:solidFill>
                  <a:schemeClr val="bg1"/>
                </a:solidFill>
                <a:latin typeface="Vegan Style Personal Use" pitchFamily="2" charset="0"/>
                <a:ea typeface="+mn-ea"/>
                <a:cs typeface="+mn-cs"/>
              </a:defRPr>
            </a:pPr>
            <a:r>
              <a:rPr lang="en-US" sz="3600">
                <a:solidFill>
                  <a:schemeClr val="bg1"/>
                </a:solidFill>
                <a:latin typeface="Vegan Style Personal Use" pitchFamily="2" charset="0"/>
              </a:rPr>
              <a:t> Revenue  per  Store </a:t>
            </a:r>
          </a:p>
        </c:rich>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Vegan Style Personal Use" pitchFamily="2" charset="0"/>
              <a:ea typeface="+mn-ea"/>
              <a:cs typeface="+mn-cs"/>
            </a:defRPr>
          </a:pPr>
          <a:endParaRPr lang="en-US"/>
        </a:p>
      </c:txPr>
    </c:title>
    <c:autoTitleDeleted val="0"/>
    <c:plotArea>
      <c:layout/>
      <c:barChart>
        <c:barDir val="col"/>
        <c:grouping val="clustered"/>
        <c:varyColors val="0"/>
        <c:ser>
          <c:idx val="0"/>
          <c:order val="0"/>
          <c:tx>
            <c:strRef>
              <c:f>Data!$O$1</c:f>
              <c:strCache>
                <c:ptCount val="1"/>
                <c:pt idx="0">
                  <c:v> Revenue per Store </c:v>
                </c:pt>
              </c:strCache>
            </c:strRef>
          </c:tx>
          <c:spPr>
            <a:solidFill>
              <a:srgbClr val="FDE021"/>
            </a:solidFill>
            <a:ln>
              <a:noFill/>
            </a:ln>
            <a:effectLst/>
          </c:spPr>
          <c:invertIfNegative val="0"/>
          <c:cat>
            <c:numRef>
              <c:f>Data!$A$2:$A$7</c:f>
              <c:numCache>
                <c:formatCode>General</c:formatCode>
                <c:ptCount val="6"/>
                <c:pt idx="0">
                  <c:v>2020</c:v>
                </c:pt>
                <c:pt idx="1">
                  <c:v>2021</c:v>
                </c:pt>
                <c:pt idx="2">
                  <c:v>2022</c:v>
                </c:pt>
                <c:pt idx="3">
                  <c:v>2023</c:v>
                </c:pt>
                <c:pt idx="4">
                  <c:v>2024</c:v>
                </c:pt>
                <c:pt idx="5">
                  <c:v>2025</c:v>
                </c:pt>
              </c:numCache>
            </c:numRef>
          </c:cat>
          <c:val>
            <c:numRef>
              <c:f>Data!$O$2:$O$7</c:f>
              <c:numCache>
                <c:formatCode>_("$"* #,##0_);_("$"* \(#,##0\);_("$"* "-"??_);_(@_)</c:formatCode>
                <c:ptCount val="6"/>
                <c:pt idx="0">
                  <c:v>742433.10657596367</c:v>
                </c:pt>
                <c:pt idx="1">
                  <c:v>925420.07434944238</c:v>
                </c:pt>
                <c:pt idx="2">
                  <c:v>1101359.1654247392</c:v>
                </c:pt>
                <c:pt idx="3">
                  <c:v>1162185.3188929001</c:v>
                </c:pt>
                <c:pt idx="4">
                  <c:v>1304495.9266802445</c:v>
                </c:pt>
                <c:pt idx="5">
                  <c:v>1442041.3732394367</c:v>
                </c:pt>
              </c:numCache>
            </c:numRef>
          </c:val>
          <c:extLst>
            <c:ext xmlns:c16="http://schemas.microsoft.com/office/drawing/2014/chart" uri="{C3380CC4-5D6E-409C-BE32-E72D297353CC}">
              <c16:uniqueId val="{00000000-A96F-4C15-9455-2147810814AB}"/>
            </c:ext>
          </c:extLst>
        </c:ser>
        <c:dLbls>
          <c:showLegendKey val="0"/>
          <c:showVal val="0"/>
          <c:showCatName val="0"/>
          <c:showSerName val="0"/>
          <c:showPercent val="0"/>
          <c:showBubbleSize val="0"/>
        </c:dLbls>
        <c:gapWidth val="219"/>
        <c:overlap val="-27"/>
        <c:axId val="458576256"/>
        <c:axId val="458577696"/>
      </c:barChart>
      <c:catAx>
        <c:axId val="458576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400" b="0" i="0" u="none" strike="noStrike" kern="1200" baseline="0">
                <a:solidFill>
                  <a:schemeClr val="bg1"/>
                </a:solidFill>
                <a:latin typeface="Bebas Kai" panose="04050603020B02020204" pitchFamily="82" charset="0"/>
                <a:ea typeface="+mn-ea"/>
                <a:cs typeface="+mn-cs"/>
              </a:defRPr>
            </a:pPr>
            <a:endParaRPr lang="en-US"/>
          </a:p>
        </c:txPr>
        <c:crossAx val="458577696"/>
        <c:crosses val="autoZero"/>
        <c:auto val="1"/>
        <c:lblAlgn val="ctr"/>
        <c:lblOffset val="100"/>
        <c:noMultiLvlLbl val="0"/>
      </c:catAx>
      <c:valAx>
        <c:axId val="45857769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2400" b="0" i="0" u="none" strike="noStrike" kern="1200" baseline="0">
                <a:solidFill>
                  <a:schemeClr val="bg1"/>
                </a:solidFill>
                <a:latin typeface="Bebas Kai" panose="04050603020B02020204" pitchFamily="82" charset="0"/>
                <a:ea typeface="+mn-ea"/>
                <a:cs typeface="+mn-cs"/>
              </a:defRPr>
            </a:pPr>
            <a:endParaRPr lang="en-US"/>
          </a:p>
        </c:txPr>
        <c:crossAx val="45857625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sz="3600">
                <a:solidFill>
                  <a:schemeClr val="bg1"/>
                </a:solidFill>
                <a:latin typeface="Vegan Style Personal Use" pitchFamily="2" charset="0"/>
              </a:rPr>
              <a:t>Expense  Ratio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lotArea>
      <c:layout/>
      <c:lineChart>
        <c:grouping val="standard"/>
        <c:varyColors val="0"/>
        <c:ser>
          <c:idx val="0"/>
          <c:order val="0"/>
          <c:tx>
            <c:strRef>
              <c:f>Data!$J$1</c:f>
              <c:strCache>
                <c:ptCount val="1"/>
                <c:pt idx="0">
                  <c:v>Expense Ratio</c:v>
                </c:pt>
              </c:strCache>
            </c:strRef>
          </c:tx>
          <c:spPr>
            <a:ln w="47625" cap="rnd">
              <a:solidFill>
                <a:srgbClr val="EA0000"/>
              </a:solidFill>
              <a:round/>
            </a:ln>
            <a:effectLst/>
          </c:spPr>
          <c:marker>
            <c:symbol val="circle"/>
            <c:size val="12"/>
            <c:spPr>
              <a:solidFill>
                <a:srgbClr val="EA0000"/>
              </a:solidFill>
              <a:ln w="9525">
                <a:solidFill>
                  <a:srgbClr val="EA0000"/>
                </a:solidFill>
              </a:ln>
              <a:effectLst/>
            </c:spPr>
          </c:marker>
          <c:cat>
            <c:numRef>
              <c:f>Data!$A$2:$A$7</c:f>
              <c:numCache>
                <c:formatCode>General</c:formatCode>
                <c:ptCount val="6"/>
                <c:pt idx="0">
                  <c:v>2020</c:v>
                </c:pt>
                <c:pt idx="1">
                  <c:v>2021</c:v>
                </c:pt>
                <c:pt idx="2">
                  <c:v>2022</c:v>
                </c:pt>
                <c:pt idx="3">
                  <c:v>2023</c:v>
                </c:pt>
                <c:pt idx="4">
                  <c:v>2024</c:v>
                </c:pt>
                <c:pt idx="5">
                  <c:v>2025</c:v>
                </c:pt>
              </c:numCache>
            </c:numRef>
          </c:cat>
          <c:val>
            <c:numRef>
              <c:f>Data!$J$2:$J$7</c:f>
              <c:numCache>
                <c:formatCode>0.0%</c:formatCode>
                <c:ptCount val="6"/>
                <c:pt idx="0">
                  <c:v>0.96640328881260062</c:v>
                </c:pt>
                <c:pt idx="1">
                  <c:v>1.2234010074797741</c:v>
                </c:pt>
                <c:pt idx="2">
                  <c:v>1.0035344486963675</c:v>
                </c:pt>
                <c:pt idx="3">
                  <c:v>0.95214004075479197</c:v>
                </c:pt>
                <c:pt idx="4">
                  <c:v>0.91718051701190073</c:v>
                </c:pt>
                <c:pt idx="5">
                  <c:v>0.90160906236818283</c:v>
                </c:pt>
              </c:numCache>
            </c:numRef>
          </c:val>
          <c:smooth val="0"/>
          <c:extLst>
            <c:ext xmlns:c16="http://schemas.microsoft.com/office/drawing/2014/chart" uri="{C3380CC4-5D6E-409C-BE32-E72D297353CC}">
              <c16:uniqueId val="{00000000-6E62-4E3A-A8C9-16FF5340B0A9}"/>
            </c:ext>
          </c:extLst>
        </c:ser>
        <c:dLbls>
          <c:showLegendKey val="0"/>
          <c:showVal val="0"/>
          <c:showCatName val="0"/>
          <c:showSerName val="0"/>
          <c:showPercent val="0"/>
          <c:showBubbleSize val="0"/>
        </c:dLbls>
        <c:marker val="1"/>
        <c:smooth val="0"/>
        <c:axId val="458521056"/>
        <c:axId val="458523456"/>
      </c:lineChart>
      <c:catAx>
        <c:axId val="458521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400" b="0" i="0" u="none" strike="noStrike" kern="1200" baseline="0">
                <a:solidFill>
                  <a:schemeClr val="bg1"/>
                </a:solidFill>
                <a:latin typeface="Bebas Kai" panose="04050603020B02020204" pitchFamily="82" charset="0"/>
                <a:ea typeface="+mn-ea"/>
                <a:cs typeface="+mn-cs"/>
              </a:defRPr>
            </a:pPr>
            <a:endParaRPr lang="en-US"/>
          </a:p>
        </c:txPr>
        <c:crossAx val="458523456"/>
        <c:crosses val="autoZero"/>
        <c:auto val="1"/>
        <c:lblAlgn val="ctr"/>
        <c:lblOffset val="100"/>
        <c:noMultiLvlLbl val="0"/>
      </c:catAx>
      <c:valAx>
        <c:axId val="45852345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2400" b="0" i="0" u="none" strike="noStrike" kern="1200" baseline="0">
                <a:solidFill>
                  <a:schemeClr val="bg1"/>
                </a:solidFill>
                <a:latin typeface="Bebas Kai" panose="04050603020B02020204" pitchFamily="82" charset="0"/>
                <a:ea typeface="+mn-ea"/>
                <a:cs typeface="+mn-cs"/>
              </a:defRPr>
            </a:pPr>
            <a:endParaRPr lang="en-US"/>
          </a:p>
        </c:txPr>
        <c:crossAx val="45852105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3600" b="0" i="0" u="none" strike="noStrike" kern="1200" spc="0" baseline="0">
                <a:solidFill>
                  <a:schemeClr val="bg1"/>
                </a:solidFill>
                <a:latin typeface="Vegan Style Personal Use" pitchFamily="2" charset="0"/>
                <a:ea typeface="+mn-ea"/>
                <a:cs typeface="+mn-cs"/>
              </a:defRPr>
            </a:pPr>
            <a:r>
              <a:rPr lang="en-US" sz="3600">
                <a:solidFill>
                  <a:schemeClr val="bg1"/>
                </a:solidFill>
                <a:latin typeface="Vegan Style Personal Use" pitchFamily="2" charset="0"/>
              </a:rPr>
              <a:t>Net  Profit  Margin</a:t>
            </a:r>
          </a:p>
        </c:rich>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Vegan Style Personal Use" pitchFamily="2" charset="0"/>
              <a:ea typeface="+mn-ea"/>
              <a:cs typeface="+mn-cs"/>
            </a:defRPr>
          </a:pPr>
          <a:endParaRPr lang="en-US"/>
        </a:p>
      </c:txPr>
    </c:title>
    <c:autoTitleDeleted val="0"/>
    <c:plotArea>
      <c:layout/>
      <c:lineChart>
        <c:grouping val="standard"/>
        <c:varyColors val="0"/>
        <c:ser>
          <c:idx val="0"/>
          <c:order val="0"/>
          <c:tx>
            <c:strRef>
              <c:f>Data!$I$1</c:f>
              <c:strCache>
                <c:ptCount val="1"/>
                <c:pt idx="0">
                  <c:v>Net Profit Margin</c:v>
                </c:pt>
              </c:strCache>
            </c:strRef>
          </c:tx>
          <c:spPr>
            <a:ln w="47625" cap="rnd">
              <a:solidFill>
                <a:srgbClr val="EA0000"/>
              </a:solidFill>
              <a:round/>
            </a:ln>
            <a:effectLst/>
          </c:spPr>
          <c:marker>
            <c:symbol val="circle"/>
            <c:size val="12"/>
            <c:spPr>
              <a:solidFill>
                <a:srgbClr val="EA0000"/>
              </a:solidFill>
              <a:ln w="9525">
                <a:solidFill>
                  <a:schemeClr val="accent1"/>
                </a:solidFill>
              </a:ln>
              <a:effectLst/>
            </c:spPr>
          </c:marker>
          <c:cat>
            <c:numRef>
              <c:f>Data!$A$2:$A$7</c:f>
              <c:numCache>
                <c:formatCode>General</c:formatCode>
                <c:ptCount val="6"/>
                <c:pt idx="0">
                  <c:v>2020</c:v>
                </c:pt>
                <c:pt idx="1">
                  <c:v>2021</c:v>
                </c:pt>
                <c:pt idx="2">
                  <c:v>2022</c:v>
                </c:pt>
                <c:pt idx="3">
                  <c:v>2023</c:v>
                </c:pt>
                <c:pt idx="4">
                  <c:v>2024</c:v>
                </c:pt>
                <c:pt idx="5">
                  <c:v>2025</c:v>
                </c:pt>
              </c:numCache>
            </c:numRef>
          </c:cat>
          <c:val>
            <c:numRef>
              <c:f>Data!$I$2:$I$7</c:f>
              <c:numCache>
                <c:formatCode>0.0%</c:formatCode>
                <c:ptCount val="6"/>
                <c:pt idx="0">
                  <c:v>1.8502625124842326E-2</c:v>
                </c:pt>
                <c:pt idx="1">
                  <c:v>-0.23686821618234258</c:v>
                </c:pt>
                <c:pt idx="2">
                  <c:v>-2.6052350976709444E-2</c:v>
                </c:pt>
                <c:pt idx="3">
                  <c:v>1.0304666920693826E-2</c:v>
                </c:pt>
                <c:pt idx="4">
                  <c:v>5.1872928888420509E-2</c:v>
                </c:pt>
                <c:pt idx="5">
                  <c:v>7.1589509931575632E-2</c:v>
                </c:pt>
              </c:numCache>
            </c:numRef>
          </c:val>
          <c:smooth val="0"/>
          <c:extLst>
            <c:ext xmlns:c16="http://schemas.microsoft.com/office/drawing/2014/chart" uri="{C3380CC4-5D6E-409C-BE32-E72D297353CC}">
              <c16:uniqueId val="{00000000-240E-4C4F-99A0-3EE375F7BAD7}"/>
            </c:ext>
          </c:extLst>
        </c:ser>
        <c:dLbls>
          <c:showLegendKey val="0"/>
          <c:showVal val="0"/>
          <c:showCatName val="0"/>
          <c:showSerName val="0"/>
          <c:showPercent val="0"/>
          <c:showBubbleSize val="0"/>
        </c:dLbls>
        <c:dropLines>
          <c:spPr>
            <a:ln w="50800" cap="rnd" cmpd="sng" algn="ctr">
              <a:gradFill>
                <a:gsLst>
                  <a:gs pos="20000">
                    <a:srgbClr val="FEDB0A">
                      <a:alpha val="0"/>
                    </a:srgbClr>
                  </a:gs>
                  <a:gs pos="95000">
                    <a:srgbClr val="FEDB0A"/>
                  </a:gs>
                </a:gsLst>
                <a:lin ang="5400000" scaled="1"/>
              </a:gradFill>
              <a:prstDash val="sysDot"/>
              <a:round/>
            </a:ln>
            <a:effectLst/>
          </c:spPr>
        </c:dropLines>
        <c:marker val="1"/>
        <c:smooth val="0"/>
        <c:axId val="458518176"/>
        <c:axId val="458519616"/>
      </c:lineChart>
      <c:catAx>
        <c:axId val="458518176"/>
        <c:scaling>
          <c:orientation val="minMax"/>
        </c:scaling>
        <c:delete val="0"/>
        <c:axPos val="b"/>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2400" b="0" i="0" u="none" strike="noStrike" kern="1200" baseline="0">
                <a:solidFill>
                  <a:schemeClr val="bg1"/>
                </a:solidFill>
                <a:latin typeface="Bebas Kai" panose="04050603020B02020204" pitchFamily="82" charset="0"/>
                <a:ea typeface="+mn-ea"/>
                <a:cs typeface="+mn-cs"/>
              </a:defRPr>
            </a:pPr>
            <a:endParaRPr lang="en-US"/>
          </a:p>
        </c:txPr>
        <c:crossAx val="458519616"/>
        <c:crosses val="autoZero"/>
        <c:auto val="1"/>
        <c:lblAlgn val="ctr"/>
        <c:lblOffset val="100"/>
        <c:noMultiLvlLbl val="0"/>
      </c:catAx>
      <c:valAx>
        <c:axId val="458519616"/>
        <c:scaling>
          <c:orientation val="minMax"/>
        </c:scaling>
        <c:delete val="0"/>
        <c:axPos val="l"/>
        <c:majorGridlines>
          <c:spPr>
            <a:ln w="6350" cap="flat" cmpd="sng" algn="ctr">
              <a:solidFill>
                <a:schemeClr val="bg1">
                  <a:alpha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2400" b="0" i="0" u="none" strike="noStrike" kern="1200" baseline="0">
                <a:solidFill>
                  <a:schemeClr val="bg1"/>
                </a:solidFill>
                <a:latin typeface="Bebas Kai" panose="04050603020B02020204" pitchFamily="82" charset="0"/>
                <a:ea typeface="+mn-ea"/>
                <a:cs typeface="+mn-cs"/>
              </a:defRPr>
            </a:pPr>
            <a:endParaRPr lang="en-US"/>
          </a:p>
        </c:txPr>
        <c:crossAx val="45851817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Sequel" panose="00000500000000000000" pitchFamily="2" charset="0"/>
              <a:ea typeface="+mn-ea"/>
              <a:cs typeface="+mn-cs"/>
            </a:defRPr>
          </a:pPr>
          <a:endParaRPr lang="en-US"/>
        </a:p>
      </c:txPr>
    </c:title>
    <c:autoTitleDeleted val="0"/>
    <c:plotArea>
      <c:layout/>
      <c:lineChart>
        <c:grouping val="standard"/>
        <c:varyColors val="0"/>
        <c:ser>
          <c:idx val="0"/>
          <c:order val="0"/>
          <c:tx>
            <c:strRef>
              <c:f>Data!$C$1</c:f>
              <c:strCache>
                <c:ptCount val="1"/>
                <c:pt idx="0">
                  <c:v>Revenue Growth %</c:v>
                </c:pt>
              </c:strCache>
            </c:strRef>
          </c:tx>
          <c:spPr>
            <a:ln w="28575" cap="rnd">
              <a:solidFill>
                <a:srgbClr val="006098"/>
              </a:solidFill>
              <a:round/>
            </a:ln>
            <a:effectLst/>
          </c:spPr>
          <c:marker>
            <c:symbol val="circle"/>
            <c:size val="5"/>
            <c:spPr>
              <a:solidFill>
                <a:schemeClr val="accent1"/>
              </a:solidFill>
              <a:ln w="9525">
                <a:solidFill>
                  <a:srgbClr val="006098">
                    <a:alpha val="86000"/>
                  </a:srgbClr>
                </a:solidFill>
              </a:ln>
              <a:effectLst/>
            </c:spPr>
          </c:marker>
          <c:cat>
            <c:numRef>
              <c:extLst>
                <c:ext xmlns:c15="http://schemas.microsoft.com/office/drawing/2012/chart" uri="{02D57815-91ED-43cb-92C2-25804820EDAC}">
                  <c15:fullRef>
                    <c15:sqref>Data!$A$2:$A$7</c15:sqref>
                  </c15:fullRef>
                </c:ext>
              </c:extLst>
              <c:f>Data!$A$3:$A$7</c:f>
              <c:numCache>
                <c:formatCode>General</c:formatCode>
                <c:ptCount val="5"/>
                <c:pt idx="0">
                  <c:v>2021</c:v>
                </c:pt>
                <c:pt idx="1">
                  <c:v>2022</c:v>
                </c:pt>
                <c:pt idx="2">
                  <c:v>2023</c:v>
                </c:pt>
                <c:pt idx="3">
                  <c:v>2024</c:v>
                </c:pt>
                <c:pt idx="4">
                  <c:v>2025</c:v>
                </c:pt>
              </c:numCache>
            </c:numRef>
          </c:cat>
          <c:val>
            <c:numRef>
              <c:extLst>
                <c:ext xmlns:c15="http://schemas.microsoft.com/office/drawing/2012/chart" uri="{02D57815-91ED-43cb-92C2-25804820EDAC}">
                  <c15:fullRef>
                    <c15:sqref>Data!$C$2:$C$7</c15:sqref>
                  </c15:fullRef>
                </c:ext>
              </c:extLst>
              <c:f>Data!$C$3:$C$7</c:f>
              <c:numCache>
                <c:formatCode>0.0%</c:formatCode>
                <c:ptCount val="5"/>
                <c:pt idx="0">
                  <c:v>0.52063601628524214</c:v>
                </c:pt>
                <c:pt idx="1">
                  <c:v>0.48432943142469209</c:v>
                </c:pt>
                <c:pt idx="2">
                  <c:v>0.30684752074391214</c:v>
                </c:pt>
                <c:pt idx="3">
                  <c:v>0.32641005781879029</c:v>
                </c:pt>
                <c:pt idx="4">
                  <c:v>0.27879767215840562</c:v>
                </c:pt>
              </c:numCache>
            </c:numRef>
          </c:val>
          <c:smooth val="0"/>
          <c:extLst>
            <c:ext xmlns:c16="http://schemas.microsoft.com/office/drawing/2014/chart" uri="{C3380CC4-5D6E-409C-BE32-E72D297353CC}">
              <c16:uniqueId val="{00000000-FE9F-4811-854F-5FF19E317AD6}"/>
            </c:ext>
          </c:extLst>
        </c:ser>
        <c:dLbls>
          <c:showLegendKey val="0"/>
          <c:showVal val="0"/>
          <c:showCatName val="0"/>
          <c:showSerName val="0"/>
          <c:showPercent val="0"/>
          <c:showBubbleSize val="0"/>
        </c:dLbls>
        <c:marker val="1"/>
        <c:smooth val="0"/>
        <c:axId val="1941443232"/>
        <c:axId val="1941450432"/>
      </c:lineChart>
      <c:catAx>
        <c:axId val="1941443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Bebas Kai" panose="04050603020B02020204" pitchFamily="82" charset="0"/>
                <a:ea typeface="+mn-ea"/>
                <a:cs typeface="+mn-cs"/>
              </a:defRPr>
            </a:pPr>
            <a:endParaRPr lang="en-US"/>
          </a:p>
        </c:txPr>
        <c:crossAx val="1941450432"/>
        <c:crosses val="autoZero"/>
        <c:auto val="1"/>
        <c:lblAlgn val="ctr"/>
        <c:lblOffset val="100"/>
        <c:noMultiLvlLbl val="0"/>
      </c:catAx>
      <c:valAx>
        <c:axId val="194145043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Bebas Kai" panose="04050603020B02020204" pitchFamily="82" charset="0"/>
                <a:ea typeface="+mn-ea"/>
                <a:cs typeface="+mn-cs"/>
              </a:defRPr>
            </a:pPr>
            <a:endParaRPr lang="en-US"/>
          </a:p>
        </c:txPr>
        <c:crossAx val="19414432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Sequel" panose="00000500000000000000" pitchFamily="2" charset="0"/>
              <a:ea typeface="+mn-ea"/>
              <a:cs typeface="+mn-cs"/>
            </a:defRPr>
          </a:pPr>
          <a:endParaRPr lang="en-US"/>
        </a:p>
      </c:txPr>
    </c:title>
    <c:autoTitleDeleted val="0"/>
    <c:plotArea>
      <c:layout/>
      <c:lineChart>
        <c:grouping val="standard"/>
        <c:varyColors val="0"/>
        <c:ser>
          <c:idx val="0"/>
          <c:order val="0"/>
          <c:tx>
            <c:strRef>
              <c:f>Data!$K$1</c:f>
              <c:strCache>
                <c:ptCount val="1"/>
                <c:pt idx="0">
                  <c:v>Total Stores</c:v>
                </c:pt>
              </c:strCache>
            </c:strRef>
          </c:tx>
          <c:spPr>
            <a:ln w="28575" cap="rnd">
              <a:solidFill>
                <a:srgbClr val="FFDB01"/>
              </a:solidFill>
              <a:round/>
            </a:ln>
            <a:effectLst/>
          </c:spPr>
          <c:marker>
            <c:symbol val="circle"/>
            <c:size val="5"/>
            <c:spPr>
              <a:solidFill>
                <a:srgbClr val="FFDB01"/>
              </a:solidFill>
              <a:ln w="9525">
                <a:solidFill>
                  <a:srgbClr val="FFDB01"/>
                </a:solidFill>
              </a:ln>
              <a:effectLst/>
            </c:spPr>
          </c:marker>
          <c:cat>
            <c:numRef>
              <c:f>Data!$A$2:$A$7</c:f>
              <c:numCache>
                <c:formatCode>General</c:formatCode>
                <c:ptCount val="6"/>
                <c:pt idx="0">
                  <c:v>2020</c:v>
                </c:pt>
                <c:pt idx="1">
                  <c:v>2021</c:v>
                </c:pt>
                <c:pt idx="2">
                  <c:v>2022</c:v>
                </c:pt>
                <c:pt idx="3">
                  <c:v>2023</c:v>
                </c:pt>
                <c:pt idx="4">
                  <c:v>2024</c:v>
                </c:pt>
                <c:pt idx="5">
                  <c:v>2025</c:v>
                </c:pt>
              </c:numCache>
            </c:numRef>
          </c:cat>
          <c:val>
            <c:numRef>
              <c:f>Data!$K$2:$K$7</c:f>
              <c:numCache>
                <c:formatCode>0</c:formatCode>
                <c:ptCount val="6"/>
                <c:pt idx="0">
                  <c:v>441</c:v>
                </c:pt>
                <c:pt idx="1">
                  <c:v>538</c:v>
                </c:pt>
                <c:pt idx="2">
                  <c:v>671</c:v>
                </c:pt>
                <c:pt idx="3">
                  <c:v>831</c:v>
                </c:pt>
                <c:pt idx="4">
                  <c:v>982</c:v>
                </c:pt>
                <c:pt idx="5">
                  <c:v>1136</c:v>
                </c:pt>
              </c:numCache>
            </c:numRef>
          </c:val>
          <c:smooth val="0"/>
          <c:extLst>
            <c:ext xmlns:c16="http://schemas.microsoft.com/office/drawing/2014/chart" uri="{C3380CC4-5D6E-409C-BE32-E72D297353CC}">
              <c16:uniqueId val="{00000000-1826-4FA6-BF7A-05A15F2D9C25}"/>
            </c:ext>
          </c:extLst>
        </c:ser>
        <c:dLbls>
          <c:showLegendKey val="0"/>
          <c:showVal val="0"/>
          <c:showCatName val="0"/>
          <c:showSerName val="0"/>
          <c:showPercent val="0"/>
          <c:showBubbleSize val="0"/>
        </c:dLbls>
        <c:marker val="1"/>
        <c:smooth val="0"/>
        <c:axId val="1941453312"/>
        <c:axId val="1941456192"/>
      </c:lineChart>
      <c:catAx>
        <c:axId val="1941453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Bebas Kai" panose="04050603020B02020204" pitchFamily="82" charset="0"/>
                <a:ea typeface="+mn-ea"/>
                <a:cs typeface="+mn-cs"/>
              </a:defRPr>
            </a:pPr>
            <a:endParaRPr lang="en-US"/>
          </a:p>
        </c:txPr>
        <c:crossAx val="1941456192"/>
        <c:crosses val="autoZero"/>
        <c:auto val="1"/>
        <c:lblAlgn val="ctr"/>
        <c:lblOffset val="100"/>
        <c:noMultiLvlLbl val="0"/>
      </c:catAx>
      <c:valAx>
        <c:axId val="19414561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Bebas Kai" panose="04050603020B02020204" pitchFamily="82" charset="0"/>
                <a:ea typeface="+mn-ea"/>
                <a:cs typeface="+mn-cs"/>
              </a:defRPr>
            </a:pPr>
            <a:endParaRPr lang="en-US"/>
          </a:p>
        </c:txPr>
        <c:crossAx val="1941453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Sequel" panose="00000500000000000000" pitchFamily="2" charset="0"/>
                <a:ea typeface="+mn-ea"/>
                <a:cs typeface="+mn-cs"/>
              </a:defRPr>
            </a:pPr>
            <a:r>
              <a:rPr lang="en-US">
                <a:latin typeface="Sequel" panose="00000500000000000000" pitchFamily="2" charset="0"/>
              </a:rPr>
              <a:t>Revenue vs Total</a:t>
            </a:r>
            <a:r>
              <a:rPr lang="en-US" baseline="0">
                <a:latin typeface="Sequel" panose="00000500000000000000" pitchFamily="2" charset="0"/>
              </a:rPr>
              <a:t> Stores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Sequel" panose="00000500000000000000" pitchFamily="2" charset="0"/>
              <a:ea typeface="+mn-ea"/>
              <a:cs typeface="+mn-cs"/>
            </a:defRPr>
          </a:pPr>
          <a:endParaRPr lang="en-US"/>
        </a:p>
      </c:txPr>
    </c:title>
    <c:autoTitleDeleted val="0"/>
    <c:plotArea>
      <c:layout/>
      <c:barChart>
        <c:barDir val="col"/>
        <c:grouping val="clustered"/>
        <c:varyColors val="0"/>
        <c:ser>
          <c:idx val="1"/>
          <c:order val="1"/>
          <c:tx>
            <c:strRef>
              <c:f>Data!$B$1</c:f>
              <c:strCache>
                <c:ptCount val="1"/>
                <c:pt idx="0">
                  <c:v> Revenue </c:v>
                </c:pt>
              </c:strCache>
            </c:strRef>
          </c:tx>
          <c:spPr>
            <a:solidFill>
              <a:srgbClr val="EA0000"/>
            </a:solidFill>
            <a:ln>
              <a:noFill/>
            </a:ln>
            <a:effectLst/>
          </c:spPr>
          <c:invertIfNegative val="0"/>
          <c:cat>
            <c:strRef>
              <c:extLst>
                <c:ext xmlns:c15="http://schemas.microsoft.com/office/drawing/2012/chart" uri="{02D57815-91ED-43cb-92C2-25804820EDAC}">
                  <c15:fullRef>
                    <c15:sqref>Data!$A$1:$A$7</c15:sqref>
                  </c15:fullRef>
                </c:ext>
              </c:extLst>
              <c:f>Data!$A$2:$A$7</c:f>
              <c:strCache>
                <c:ptCount val="6"/>
                <c:pt idx="0">
                  <c:v>2020</c:v>
                </c:pt>
                <c:pt idx="1">
                  <c:v>2021</c:v>
                </c:pt>
                <c:pt idx="2">
                  <c:v>2022</c:v>
                </c:pt>
                <c:pt idx="3">
                  <c:v>2023</c:v>
                </c:pt>
                <c:pt idx="4">
                  <c:v>2024</c:v>
                </c:pt>
                <c:pt idx="5">
                  <c:v>2025</c:v>
                </c:pt>
              </c:strCache>
            </c:strRef>
          </c:cat>
          <c:val>
            <c:numRef>
              <c:extLst>
                <c:ext xmlns:c15="http://schemas.microsoft.com/office/drawing/2012/chart" uri="{02D57815-91ED-43cb-92C2-25804820EDAC}">
                  <c15:fullRef>
                    <c15:sqref>Data!$B$2:$B$7</c15:sqref>
                  </c15:fullRef>
                </c:ext>
              </c:extLst>
              <c:f>Data!$B$3:$B$7</c:f>
              <c:numCache>
                <c:formatCode>_("$"* #,##0_);_("$"* \(#,##0\);_("$"* "-"??_);_(@_)</c:formatCode>
                <c:ptCount val="5"/>
                <c:pt idx="0">
                  <c:v>497876000</c:v>
                </c:pt>
                <c:pt idx="1">
                  <c:v>739012000</c:v>
                </c:pt>
                <c:pt idx="2">
                  <c:v>965776000</c:v>
                </c:pt>
                <c:pt idx="3">
                  <c:v>1281015000</c:v>
                </c:pt>
                <c:pt idx="4">
                  <c:v>1638159000</c:v>
                </c:pt>
              </c:numCache>
            </c:numRef>
          </c:val>
          <c:extLst>
            <c:ext xmlns:c16="http://schemas.microsoft.com/office/drawing/2014/chart" uri="{C3380CC4-5D6E-409C-BE32-E72D297353CC}">
              <c16:uniqueId val="{00000001-2C1D-407C-9C5D-574B67DE8FD2}"/>
            </c:ext>
          </c:extLst>
        </c:ser>
        <c:dLbls>
          <c:showLegendKey val="0"/>
          <c:showVal val="0"/>
          <c:showCatName val="0"/>
          <c:showSerName val="0"/>
          <c:showPercent val="0"/>
          <c:showBubbleSize val="0"/>
        </c:dLbls>
        <c:gapWidth val="219"/>
        <c:overlap val="-27"/>
        <c:axId val="1941454272"/>
        <c:axId val="1941454752"/>
        <c:extLst>
          <c:ext xmlns:c15="http://schemas.microsoft.com/office/drawing/2012/chart" uri="{02D57815-91ED-43cb-92C2-25804820EDAC}">
            <c15:filteredBarSeries>
              <c15:ser>
                <c:idx val="0"/>
                <c:order val="0"/>
                <c:tx>
                  <c:strRef>
                    <c:extLst>
                      <c:ext uri="{02D57815-91ED-43cb-92C2-25804820EDAC}">
                        <c15:formulaRef>
                          <c15:sqref>Data!$A$1</c15:sqref>
                        </c15:formulaRef>
                      </c:ext>
                    </c:extLst>
                    <c:strCache>
                      <c:ptCount val="1"/>
                      <c:pt idx="0">
                        <c:v>Year</c:v>
                      </c:pt>
                    </c:strCache>
                  </c:strRef>
                </c:tx>
                <c:spPr>
                  <a:solidFill>
                    <a:schemeClr val="accent1"/>
                  </a:solidFill>
                  <a:ln>
                    <a:noFill/>
                  </a:ln>
                  <a:effectLst/>
                </c:spPr>
                <c:invertIfNegative val="0"/>
                <c:cat>
                  <c:strRef>
                    <c:extLst>
                      <c:ext uri="{02D57815-91ED-43cb-92C2-25804820EDAC}">
                        <c15:fullRef>
                          <c15:sqref>Data!$A$1:$A$7</c15:sqref>
                        </c15:fullRef>
                        <c15:formulaRef>
                          <c15:sqref>Data!$A$2:$A$7</c15:sqref>
                        </c15:formulaRef>
                      </c:ext>
                    </c:extLst>
                    <c:strCache>
                      <c:ptCount val="6"/>
                      <c:pt idx="0">
                        <c:v>2020</c:v>
                      </c:pt>
                      <c:pt idx="1">
                        <c:v>2021</c:v>
                      </c:pt>
                      <c:pt idx="2">
                        <c:v>2022</c:v>
                      </c:pt>
                      <c:pt idx="3">
                        <c:v>2023</c:v>
                      </c:pt>
                      <c:pt idx="4">
                        <c:v>2024</c:v>
                      </c:pt>
                      <c:pt idx="5">
                        <c:v>2025</c:v>
                      </c:pt>
                    </c:strCache>
                  </c:strRef>
                </c:cat>
                <c:val>
                  <c:numRef>
                    <c:extLst>
                      <c:ext uri="{02D57815-91ED-43cb-92C2-25804820EDAC}">
                        <c15:fullRef>
                          <c15:sqref>Data!$A$2:$A$7</c15:sqref>
                        </c15:fullRef>
                        <c15:formulaRef>
                          <c15:sqref>Data!$A$3:$A$7</c15:sqref>
                        </c15:formulaRef>
                      </c:ext>
                    </c:extLst>
                    <c:numCache>
                      <c:formatCode>General</c:formatCode>
                      <c:ptCount val="5"/>
                      <c:pt idx="0">
                        <c:v>2021</c:v>
                      </c:pt>
                      <c:pt idx="1">
                        <c:v>2022</c:v>
                      </c:pt>
                      <c:pt idx="2">
                        <c:v>2023</c:v>
                      </c:pt>
                      <c:pt idx="3">
                        <c:v>2024</c:v>
                      </c:pt>
                      <c:pt idx="4">
                        <c:v>2025</c:v>
                      </c:pt>
                    </c:numCache>
                  </c:numRef>
                </c:val>
                <c:extLst>
                  <c:ext xmlns:c16="http://schemas.microsoft.com/office/drawing/2014/chart" uri="{C3380CC4-5D6E-409C-BE32-E72D297353CC}">
                    <c16:uniqueId val="{00000000-2C1D-407C-9C5D-574B67DE8FD2}"/>
                  </c:ext>
                </c:extLst>
              </c15:ser>
            </c15:filteredBarSeries>
          </c:ext>
        </c:extLst>
      </c:barChart>
      <c:lineChart>
        <c:grouping val="standard"/>
        <c:varyColors val="0"/>
        <c:ser>
          <c:idx val="2"/>
          <c:order val="2"/>
          <c:tx>
            <c:strRef>
              <c:f>Data!$K$1</c:f>
              <c:strCache>
                <c:ptCount val="1"/>
                <c:pt idx="0">
                  <c:v>Total Stores</c:v>
                </c:pt>
              </c:strCache>
            </c:strRef>
          </c:tx>
          <c:spPr>
            <a:ln w="28575" cap="rnd">
              <a:solidFill>
                <a:srgbClr val="FFDB01"/>
              </a:solidFill>
              <a:round/>
            </a:ln>
            <a:effectLst/>
          </c:spPr>
          <c:marker>
            <c:symbol val="circle"/>
            <c:size val="5"/>
            <c:spPr>
              <a:solidFill>
                <a:srgbClr val="FFDB01">
                  <a:alpha val="94000"/>
                </a:srgbClr>
              </a:solidFill>
              <a:ln w="9525">
                <a:solidFill>
                  <a:srgbClr val="FFDB01"/>
                </a:solidFill>
              </a:ln>
              <a:effectLst/>
            </c:spPr>
          </c:marker>
          <c:cat>
            <c:strLit>
              <c:ptCount val="5"/>
              <c:pt idx="0">
                <c:v>2</c:v>
              </c:pt>
              <c:pt idx="1">
                <c:v>3</c:v>
              </c:pt>
              <c:pt idx="2">
                <c:v>4</c:v>
              </c:pt>
              <c:pt idx="3">
                <c:v>5</c:v>
              </c:pt>
              <c:pt idx="4">
                <c:v>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Data!$K$2:$K$7</c15:sqref>
                  </c15:fullRef>
                </c:ext>
              </c:extLst>
              <c:f>Data!$K$3:$K$7</c:f>
              <c:numCache>
                <c:formatCode>0</c:formatCode>
                <c:ptCount val="5"/>
                <c:pt idx="0">
                  <c:v>538</c:v>
                </c:pt>
                <c:pt idx="1">
                  <c:v>671</c:v>
                </c:pt>
                <c:pt idx="2">
                  <c:v>831</c:v>
                </c:pt>
                <c:pt idx="3">
                  <c:v>982</c:v>
                </c:pt>
                <c:pt idx="4">
                  <c:v>1136</c:v>
                </c:pt>
              </c:numCache>
            </c:numRef>
          </c:val>
          <c:smooth val="0"/>
          <c:extLst>
            <c:ext xmlns:c16="http://schemas.microsoft.com/office/drawing/2014/chart" uri="{C3380CC4-5D6E-409C-BE32-E72D297353CC}">
              <c16:uniqueId val="{00000002-2C1D-407C-9C5D-574B67DE8FD2}"/>
            </c:ext>
          </c:extLst>
        </c:ser>
        <c:dLbls>
          <c:showLegendKey val="0"/>
          <c:showVal val="0"/>
          <c:showCatName val="0"/>
          <c:showSerName val="0"/>
          <c:showPercent val="0"/>
          <c:showBubbleSize val="0"/>
        </c:dLbls>
        <c:marker val="1"/>
        <c:smooth val="0"/>
        <c:axId val="1941444672"/>
        <c:axId val="1941460992"/>
      </c:lineChart>
      <c:catAx>
        <c:axId val="1941454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Bebas Kai" panose="04050603020B02020204" pitchFamily="82" charset="0"/>
                <a:ea typeface="+mn-ea"/>
                <a:cs typeface="+mn-cs"/>
              </a:defRPr>
            </a:pPr>
            <a:endParaRPr lang="en-US"/>
          </a:p>
        </c:txPr>
        <c:crossAx val="1941454752"/>
        <c:crosses val="autoZero"/>
        <c:auto val="1"/>
        <c:lblAlgn val="ctr"/>
        <c:lblOffset val="100"/>
        <c:noMultiLvlLbl val="0"/>
      </c:catAx>
      <c:valAx>
        <c:axId val="1941454752"/>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Bebas Kai" panose="04050603020B02020204" pitchFamily="82" charset="0"/>
                <a:ea typeface="+mn-ea"/>
                <a:cs typeface="+mn-cs"/>
              </a:defRPr>
            </a:pPr>
            <a:endParaRPr lang="en-US"/>
          </a:p>
        </c:txPr>
        <c:crossAx val="1941454272"/>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Sequel" panose="00000500000000000000" pitchFamily="2" charset="0"/>
                    <a:ea typeface="+mn-ea"/>
                    <a:cs typeface="+mn-cs"/>
                  </a:defRPr>
                </a:pPr>
                <a:endParaRPr lang="en-US"/>
              </a:p>
            </c:txPr>
          </c:dispUnitsLbl>
        </c:dispUnits>
      </c:valAx>
      <c:valAx>
        <c:axId val="1941460992"/>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Bebas Kai" panose="04050603020B02020204" pitchFamily="82" charset="0"/>
                <a:ea typeface="+mn-ea"/>
                <a:cs typeface="+mn-cs"/>
              </a:defRPr>
            </a:pPr>
            <a:endParaRPr lang="en-US"/>
          </a:p>
        </c:txPr>
        <c:crossAx val="1941444672"/>
        <c:crosses val="max"/>
        <c:crossBetween val="between"/>
      </c:valAx>
      <c:catAx>
        <c:axId val="1941444672"/>
        <c:scaling>
          <c:orientation val="minMax"/>
        </c:scaling>
        <c:delete val="1"/>
        <c:axPos val="b"/>
        <c:majorTickMark val="out"/>
        <c:minorTickMark val="none"/>
        <c:tickLblPos val="nextTo"/>
        <c:crossAx val="194146099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Sequel" panose="00000500000000000000" pitchFamily="2"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Sequel" panose="00000500000000000000" pitchFamily="2" charset="0"/>
              <a:ea typeface="+mn-ea"/>
              <a:cs typeface="+mn-cs"/>
            </a:defRPr>
          </a:pPr>
          <a:endParaRPr lang="en-US"/>
        </a:p>
      </c:txPr>
    </c:title>
    <c:autoTitleDeleted val="0"/>
    <c:plotArea>
      <c:layout/>
      <c:barChart>
        <c:barDir val="col"/>
        <c:grouping val="clustered"/>
        <c:varyColors val="0"/>
        <c:ser>
          <c:idx val="0"/>
          <c:order val="0"/>
          <c:tx>
            <c:strRef>
              <c:f>Data!$O$1</c:f>
              <c:strCache>
                <c:ptCount val="1"/>
                <c:pt idx="0">
                  <c:v> Revenue per Store </c:v>
                </c:pt>
              </c:strCache>
            </c:strRef>
          </c:tx>
          <c:spPr>
            <a:solidFill>
              <a:srgbClr val="FFDB01"/>
            </a:solidFill>
            <a:ln>
              <a:noFill/>
            </a:ln>
            <a:effectLst/>
          </c:spPr>
          <c:invertIfNegative val="0"/>
          <c:cat>
            <c:numRef>
              <c:f>Data!$A$2:$A$7</c:f>
              <c:numCache>
                <c:formatCode>General</c:formatCode>
                <c:ptCount val="6"/>
                <c:pt idx="0">
                  <c:v>2020</c:v>
                </c:pt>
                <c:pt idx="1">
                  <c:v>2021</c:v>
                </c:pt>
                <c:pt idx="2">
                  <c:v>2022</c:v>
                </c:pt>
                <c:pt idx="3">
                  <c:v>2023</c:v>
                </c:pt>
                <c:pt idx="4">
                  <c:v>2024</c:v>
                </c:pt>
                <c:pt idx="5">
                  <c:v>2025</c:v>
                </c:pt>
              </c:numCache>
            </c:numRef>
          </c:cat>
          <c:val>
            <c:numRef>
              <c:f>Data!$O$2:$O$7</c:f>
              <c:numCache>
                <c:formatCode>_("$"* #,##0_);_("$"* \(#,##0\);_("$"* "-"??_);_(@_)</c:formatCode>
                <c:ptCount val="6"/>
                <c:pt idx="0">
                  <c:v>742433.10657596367</c:v>
                </c:pt>
                <c:pt idx="1">
                  <c:v>925420.07434944238</c:v>
                </c:pt>
                <c:pt idx="2">
                  <c:v>1101359.1654247392</c:v>
                </c:pt>
                <c:pt idx="3">
                  <c:v>1162185.3188929001</c:v>
                </c:pt>
                <c:pt idx="4">
                  <c:v>1304495.9266802445</c:v>
                </c:pt>
                <c:pt idx="5">
                  <c:v>1442041.3732394367</c:v>
                </c:pt>
              </c:numCache>
            </c:numRef>
          </c:val>
          <c:extLst>
            <c:ext xmlns:c16="http://schemas.microsoft.com/office/drawing/2014/chart" uri="{C3380CC4-5D6E-409C-BE32-E72D297353CC}">
              <c16:uniqueId val="{00000000-7F6F-44E9-8410-EA05F663FDE2}"/>
            </c:ext>
          </c:extLst>
        </c:ser>
        <c:dLbls>
          <c:showLegendKey val="0"/>
          <c:showVal val="0"/>
          <c:showCatName val="0"/>
          <c:showSerName val="0"/>
          <c:showPercent val="0"/>
          <c:showBubbleSize val="0"/>
        </c:dLbls>
        <c:gapWidth val="219"/>
        <c:overlap val="-27"/>
        <c:axId val="458576256"/>
        <c:axId val="458577696"/>
      </c:barChart>
      <c:catAx>
        <c:axId val="458576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bg1"/>
                </a:solidFill>
                <a:latin typeface="Bebas Kai" panose="04050603020B02020204" pitchFamily="82" charset="0"/>
                <a:ea typeface="+mn-ea"/>
                <a:cs typeface="+mn-cs"/>
              </a:defRPr>
            </a:pPr>
            <a:endParaRPr lang="en-US"/>
          </a:p>
        </c:txPr>
        <c:crossAx val="458577696"/>
        <c:crosses val="autoZero"/>
        <c:auto val="1"/>
        <c:lblAlgn val="ctr"/>
        <c:lblOffset val="100"/>
        <c:noMultiLvlLbl val="0"/>
      </c:catAx>
      <c:valAx>
        <c:axId val="45857769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bg1"/>
                </a:solidFill>
                <a:latin typeface="Bebas Kai" panose="04050603020B02020204" pitchFamily="82" charset="0"/>
                <a:ea typeface="+mn-ea"/>
                <a:cs typeface="+mn-cs"/>
              </a:defRPr>
            </a:pPr>
            <a:endParaRPr lang="en-US"/>
          </a:p>
        </c:txPr>
        <c:crossAx val="458576256"/>
        <c:crosses val="autoZero"/>
        <c:crossBetween val="between"/>
      </c:valAx>
      <c:spPr>
        <a:noFill/>
        <a:ln>
          <a:noFill/>
        </a:ln>
        <a:effectLst/>
      </c:spPr>
    </c:plotArea>
    <c:plotVisOnly val="1"/>
    <c:dispBlanksAs val="gap"/>
    <c:showDLblsOverMax val="0"/>
  </c:chart>
  <c:spPr>
    <a:solidFill>
      <a:srgbClr val="006098"/>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Net Profit Margin</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lotArea>
      <c:layout/>
      <c:lineChart>
        <c:grouping val="standard"/>
        <c:varyColors val="0"/>
        <c:ser>
          <c:idx val="0"/>
          <c:order val="0"/>
          <c:tx>
            <c:strRef>
              <c:f>Data!$I$1</c:f>
              <c:strCache>
                <c:ptCount val="1"/>
                <c:pt idx="0">
                  <c:v>Net Profit Margin</c:v>
                </c:pt>
              </c:strCache>
            </c:strRef>
          </c:tx>
          <c:spPr>
            <a:ln w="19050" cap="flat" cmpd="sng" algn="ctr">
              <a:solidFill>
                <a:srgbClr val="EA0000"/>
              </a:solidFill>
              <a:prstDash val="solid"/>
              <a:miter lim="800000"/>
            </a:ln>
            <a:effectLst/>
          </c:spPr>
          <c:marker>
            <c:symbol val="circle"/>
            <c:size val="5"/>
            <c:spPr>
              <a:solidFill>
                <a:srgbClr val="EA0000"/>
              </a:solidFill>
              <a:ln w="22225">
                <a:solidFill>
                  <a:srgbClr val="EA0000"/>
                </a:solidFill>
                <a:round/>
              </a:ln>
              <a:effectLst/>
            </c:spPr>
          </c:marker>
          <c:cat>
            <c:numRef>
              <c:f>Data!$A$2:$A$7</c:f>
              <c:numCache>
                <c:formatCode>General</c:formatCode>
                <c:ptCount val="6"/>
                <c:pt idx="0">
                  <c:v>2020</c:v>
                </c:pt>
                <c:pt idx="1">
                  <c:v>2021</c:v>
                </c:pt>
                <c:pt idx="2">
                  <c:v>2022</c:v>
                </c:pt>
                <c:pt idx="3">
                  <c:v>2023</c:v>
                </c:pt>
                <c:pt idx="4">
                  <c:v>2024</c:v>
                </c:pt>
                <c:pt idx="5">
                  <c:v>2025</c:v>
                </c:pt>
              </c:numCache>
            </c:numRef>
          </c:cat>
          <c:val>
            <c:numRef>
              <c:f>Data!$I$2:$I$7</c:f>
              <c:numCache>
                <c:formatCode>0.0%</c:formatCode>
                <c:ptCount val="6"/>
                <c:pt idx="0">
                  <c:v>1.8502625124842326E-2</c:v>
                </c:pt>
                <c:pt idx="1">
                  <c:v>-0.23686821618234258</c:v>
                </c:pt>
                <c:pt idx="2">
                  <c:v>-2.6052350976709444E-2</c:v>
                </c:pt>
                <c:pt idx="3">
                  <c:v>1.0304666920693826E-2</c:v>
                </c:pt>
                <c:pt idx="4">
                  <c:v>5.1872928888420509E-2</c:v>
                </c:pt>
                <c:pt idx="5">
                  <c:v>7.1589509931575632E-2</c:v>
                </c:pt>
              </c:numCache>
            </c:numRef>
          </c:val>
          <c:smooth val="0"/>
          <c:extLst>
            <c:ext xmlns:c16="http://schemas.microsoft.com/office/drawing/2014/chart" uri="{C3380CC4-5D6E-409C-BE32-E72D297353CC}">
              <c16:uniqueId val="{00000000-F482-40FA-99FB-A16D5BFB341F}"/>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458518176"/>
        <c:axId val="458519616"/>
      </c:lineChart>
      <c:catAx>
        <c:axId val="458518176"/>
        <c:scaling>
          <c:orientation val="minMax"/>
        </c:scaling>
        <c:delete val="0"/>
        <c:axPos val="b"/>
        <c:numFmt formatCode="General" sourceLinked="1"/>
        <c:majorTickMark val="none"/>
        <c:minorTickMark val="none"/>
        <c:tickLblPos val="nextTo"/>
        <c:spPr>
          <a:noFill/>
          <a:ln w="12700" cap="flat" cmpd="sng" algn="ctr">
            <a:solidFill>
              <a:schemeClr val="bg1"/>
            </a:solidFill>
            <a:round/>
          </a:ln>
          <a:effectLst/>
        </c:spPr>
        <c:txPr>
          <a:bodyPr rot="-60000000" spcFirstLastPara="1" vertOverflow="ellipsis" vert="horz" wrap="square" anchor="ctr" anchorCtr="1"/>
          <a:lstStyle/>
          <a:p>
            <a:pPr>
              <a:defRPr sz="1200" b="0" i="0" u="none" strike="noStrike" kern="1200" spc="100" baseline="0">
                <a:solidFill>
                  <a:schemeClr val="lt1"/>
                </a:solidFill>
                <a:latin typeface="Bebas Kai" panose="04050603020B02020204" pitchFamily="82" charset="0"/>
                <a:ea typeface="+mn-ea"/>
                <a:cs typeface="+mn-cs"/>
              </a:defRPr>
            </a:pPr>
            <a:endParaRPr lang="en-US"/>
          </a:p>
        </c:txPr>
        <c:crossAx val="458519616"/>
        <c:crosses val="autoZero"/>
        <c:auto val="1"/>
        <c:lblAlgn val="ctr"/>
        <c:lblOffset val="100"/>
        <c:noMultiLvlLbl val="0"/>
      </c:catAx>
      <c:valAx>
        <c:axId val="458519616"/>
        <c:scaling>
          <c:orientation val="minMax"/>
        </c:scaling>
        <c:delete val="0"/>
        <c:axPos val="l"/>
        <c:majorGridlines>
          <c:spPr>
            <a:ln w="9525" cap="flat" cmpd="sng" algn="ctr">
              <a:solidFill>
                <a:schemeClr val="lt1">
                  <a:alpha val="2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lt1"/>
                </a:solidFill>
                <a:latin typeface="Bebas Kai" panose="04050603020B02020204" pitchFamily="82" charset="0"/>
                <a:ea typeface="+mn-ea"/>
                <a:cs typeface="+mn-cs"/>
              </a:defRPr>
            </a:pPr>
            <a:endParaRPr lang="en-US"/>
          </a:p>
        </c:txPr>
        <c:crossAx val="458518176"/>
        <c:crosses val="autoZero"/>
        <c:crossBetween val="between"/>
      </c:valAx>
      <c:spPr>
        <a:noFill/>
        <a:ln>
          <a:noFill/>
        </a:ln>
        <a:effectLst/>
      </c:spPr>
    </c:plotArea>
    <c:plotVisOnly val="1"/>
    <c:dispBlanksAs val="gap"/>
    <c:showDLblsOverMax val="0"/>
  </c:chart>
  <c:spPr>
    <a:solidFill>
      <a:srgbClr val="006098"/>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Sequel" panose="00000500000000000000" pitchFamily="2" charset="0"/>
              <a:ea typeface="+mn-ea"/>
              <a:cs typeface="+mn-cs"/>
            </a:defRPr>
          </a:pPr>
          <a:endParaRPr lang="en-US"/>
        </a:p>
      </c:txPr>
    </c:title>
    <c:autoTitleDeleted val="0"/>
    <c:plotArea>
      <c:layout/>
      <c:lineChart>
        <c:grouping val="standard"/>
        <c:varyColors val="0"/>
        <c:ser>
          <c:idx val="0"/>
          <c:order val="0"/>
          <c:tx>
            <c:strRef>
              <c:f>Data!$J$1</c:f>
              <c:strCache>
                <c:ptCount val="1"/>
                <c:pt idx="0">
                  <c:v>Expense Ratio</c:v>
                </c:pt>
              </c:strCache>
            </c:strRef>
          </c:tx>
          <c:spPr>
            <a:ln w="28575" cap="rnd">
              <a:solidFill>
                <a:srgbClr val="EA0000"/>
              </a:solidFill>
              <a:round/>
            </a:ln>
            <a:effectLst/>
          </c:spPr>
          <c:marker>
            <c:symbol val="circle"/>
            <c:size val="5"/>
            <c:spPr>
              <a:solidFill>
                <a:srgbClr val="EA0000"/>
              </a:solidFill>
              <a:ln w="9525">
                <a:solidFill>
                  <a:srgbClr val="EA0000"/>
                </a:solidFill>
              </a:ln>
              <a:effectLst/>
            </c:spPr>
          </c:marker>
          <c:cat>
            <c:numRef>
              <c:f>Data!$A$2:$A$7</c:f>
              <c:numCache>
                <c:formatCode>General</c:formatCode>
                <c:ptCount val="6"/>
                <c:pt idx="0">
                  <c:v>2020</c:v>
                </c:pt>
                <c:pt idx="1">
                  <c:v>2021</c:v>
                </c:pt>
                <c:pt idx="2">
                  <c:v>2022</c:v>
                </c:pt>
                <c:pt idx="3">
                  <c:v>2023</c:v>
                </c:pt>
                <c:pt idx="4">
                  <c:v>2024</c:v>
                </c:pt>
                <c:pt idx="5">
                  <c:v>2025</c:v>
                </c:pt>
              </c:numCache>
            </c:numRef>
          </c:cat>
          <c:val>
            <c:numRef>
              <c:f>Data!$J$2:$J$7</c:f>
              <c:numCache>
                <c:formatCode>0.0%</c:formatCode>
                <c:ptCount val="6"/>
                <c:pt idx="0">
                  <c:v>0.96640328881260062</c:v>
                </c:pt>
                <c:pt idx="1">
                  <c:v>1.2234010074797741</c:v>
                </c:pt>
                <c:pt idx="2">
                  <c:v>1.0035344486963675</c:v>
                </c:pt>
                <c:pt idx="3">
                  <c:v>0.95214004075479197</c:v>
                </c:pt>
                <c:pt idx="4">
                  <c:v>0.91718051701190073</c:v>
                </c:pt>
                <c:pt idx="5">
                  <c:v>0.90160906236818283</c:v>
                </c:pt>
              </c:numCache>
            </c:numRef>
          </c:val>
          <c:smooth val="0"/>
          <c:extLst>
            <c:ext xmlns:c16="http://schemas.microsoft.com/office/drawing/2014/chart" uri="{C3380CC4-5D6E-409C-BE32-E72D297353CC}">
              <c16:uniqueId val="{00000000-098E-417F-AFF6-D8DBA532961B}"/>
            </c:ext>
          </c:extLst>
        </c:ser>
        <c:dLbls>
          <c:showLegendKey val="0"/>
          <c:showVal val="0"/>
          <c:showCatName val="0"/>
          <c:showSerName val="0"/>
          <c:showPercent val="0"/>
          <c:showBubbleSize val="0"/>
        </c:dLbls>
        <c:marker val="1"/>
        <c:smooth val="0"/>
        <c:axId val="458521056"/>
        <c:axId val="458523456"/>
      </c:lineChart>
      <c:catAx>
        <c:axId val="458521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Bebas Kai" panose="04050603020B02020204" pitchFamily="82" charset="0"/>
                <a:ea typeface="+mn-ea"/>
                <a:cs typeface="+mn-cs"/>
              </a:defRPr>
            </a:pPr>
            <a:endParaRPr lang="en-US"/>
          </a:p>
        </c:txPr>
        <c:crossAx val="458523456"/>
        <c:crosses val="autoZero"/>
        <c:auto val="1"/>
        <c:lblAlgn val="ctr"/>
        <c:lblOffset val="100"/>
        <c:noMultiLvlLbl val="0"/>
      </c:catAx>
      <c:valAx>
        <c:axId val="45852345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Bebas Kai" panose="04050603020B02020204" pitchFamily="82" charset="0"/>
                <a:ea typeface="+mn-ea"/>
                <a:cs typeface="+mn-cs"/>
              </a:defRPr>
            </a:pPr>
            <a:endParaRPr lang="en-US"/>
          </a:p>
        </c:txPr>
        <c:crossAx val="4585210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Sequel" panose="00000500000000000000" pitchFamily="2" charset="0"/>
              <a:ea typeface="+mn-ea"/>
              <a:cs typeface="+mn-cs"/>
            </a:defRPr>
          </a:pPr>
          <a:endParaRPr lang="en-US"/>
        </a:p>
      </c:txPr>
    </c:title>
    <c:autoTitleDeleted val="0"/>
    <c:plotArea>
      <c:layout/>
      <c:lineChart>
        <c:grouping val="standard"/>
        <c:varyColors val="0"/>
        <c:ser>
          <c:idx val="0"/>
          <c:order val="0"/>
          <c:tx>
            <c:strRef>
              <c:f>Data!$R$1</c:f>
              <c:strCache>
                <c:ptCount val="1"/>
                <c:pt idx="0">
                  <c:v>Same Shop Sales Growth %</c:v>
                </c:pt>
              </c:strCache>
            </c:strRef>
          </c:tx>
          <c:spPr>
            <a:ln w="28575" cap="rnd">
              <a:solidFill>
                <a:srgbClr val="FFDB01"/>
              </a:solidFill>
              <a:round/>
            </a:ln>
            <a:effectLst/>
          </c:spPr>
          <c:marker>
            <c:symbol val="circle"/>
            <c:size val="5"/>
            <c:spPr>
              <a:solidFill>
                <a:srgbClr val="FFDB01"/>
              </a:solidFill>
              <a:ln w="9525">
                <a:solidFill>
                  <a:srgbClr val="FFDB01"/>
                </a:solidFill>
              </a:ln>
              <a:effectLst/>
            </c:spPr>
          </c:marker>
          <c:cat>
            <c:numRef>
              <c:extLst>
                <c:ext xmlns:c15="http://schemas.microsoft.com/office/drawing/2012/chart" uri="{02D57815-91ED-43cb-92C2-25804820EDAC}">
                  <c15:fullRef>
                    <c15:sqref>Data!$A$2:$A$7</c15:sqref>
                  </c15:fullRef>
                </c:ext>
              </c:extLst>
              <c:f>Data!$A$3:$A$7</c:f>
              <c:numCache>
                <c:formatCode>General</c:formatCode>
                <c:ptCount val="5"/>
                <c:pt idx="0">
                  <c:v>2021</c:v>
                </c:pt>
                <c:pt idx="1">
                  <c:v>2022</c:v>
                </c:pt>
                <c:pt idx="2">
                  <c:v>2023</c:v>
                </c:pt>
                <c:pt idx="3">
                  <c:v>2024</c:v>
                </c:pt>
                <c:pt idx="4">
                  <c:v>2025</c:v>
                </c:pt>
              </c:numCache>
            </c:numRef>
          </c:cat>
          <c:val>
            <c:numRef>
              <c:extLst>
                <c:ext xmlns:c15="http://schemas.microsoft.com/office/drawing/2012/chart" uri="{02D57815-91ED-43cb-92C2-25804820EDAC}">
                  <c15:fullRef>
                    <c15:sqref>Data!$R$2:$R$7</c15:sqref>
                  </c15:fullRef>
                </c:ext>
              </c:extLst>
              <c:f>Data!$R$3:$R$7</c:f>
              <c:numCache>
                <c:formatCode>0.0%</c:formatCode>
                <c:ptCount val="5"/>
                <c:pt idx="0">
                  <c:v>8.4000000000000005E-2</c:v>
                </c:pt>
                <c:pt idx="1">
                  <c:v>0.01</c:v>
                </c:pt>
                <c:pt idx="2">
                  <c:v>2.8000000000000001E-2</c:v>
                </c:pt>
                <c:pt idx="3">
                  <c:v>5.2999999999999999E-2</c:v>
                </c:pt>
                <c:pt idx="4">
                  <c:v>5.6000000000000001E-2</c:v>
                </c:pt>
              </c:numCache>
            </c:numRef>
          </c:val>
          <c:smooth val="0"/>
          <c:extLst>
            <c:ext xmlns:c16="http://schemas.microsoft.com/office/drawing/2014/chart" uri="{C3380CC4-5D6E-409C-BE32-E72D297353CC}">
              <c16:uniqueId val="{00000000-BEC2-4357-90C3-3EE665889F97}"/>
            </c:ext>
          </c:extLst>
        </c:ser>
        <c:dLbls>
          <c:showLegendKey val="0"/>
          <c:showVal val="0"/>
          <c:showCatName val="0"/>
          <c:showSerName val="0"/>
          <c:showPercent val="0"/>
          <c:showBubbleSize val="0"/>
        </c:dLbls>
        <c:marker val="1"/>
        <c:smooth val="0"/>
        <c:axId val="477465568"/>
        <c:axId val="477466048"/>
      </c:lineChart>
      <c:catAx>
        <c:axId val="477465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bg1"/>
                </a:solidFill>
                <a:latin typeface="Bebas Kai" panose="04050603020B02020204" pitchFamily="82" charset="0"/>
                <a:ea typeface="+mn-ea"/>
                <a:cs typeface="+mn-cs"/>
              </a:defRPr>
            </a:pPr>
            <a:endParaRPr lang="en-US"/>
          </a:p>
        </c:txPr>
        <c:crossAx val="477466048"/>
        <c:crosses val="autoZero"/>
        <c:auto val="1"/>
        <c:lblAlgn val="ctr"/>
        <c:lblOffset val="100"/>
        <c:noMultiLvlLbl val="0"/>
      </c:catAx>
      <c:valAx>
        <c:axId val="4774660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bg1"/>
                </a:solidFill>
                <a:latin typeface="Bebas Kai" panose="04050603020B02020204" pitchFamily="82" charset="0"/>
                <a:ea typeface="+mn-ea"/>
                <a:cs typeface="+mn-cs"/>
              </a:defRPr>
            </a:pPr>
            <a:endParaRPr lang="en-US"/>
          </a:p>
        </c:txPr>
        <c:crossAx val="4774655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006098"/>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[Dutch Bros Dashboard and Annual Numbers.xlsm]Tables!PivotTable11</c:name>
    <c:fmtId val="4"/>
  </c:pivotSource>
  <c:chart>
    <c:autoTitleDeleted val="0"/>
    <c:pivotFmts>
      <c:pivotFmt>
        <c:idx val="0"/>
        <c:spPr>
          <a:solidFill>
            <a:srgbClr val="EA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609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EA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0609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EA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00609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Tables!$I$30</c:f>
              <c:strCache>
                <c:ptCount val="1"/>
                <c:pt idx="0">
                  <c:v> Company Stores</c:v>
                </c:pt>
              </c:strCache>
            </c:strRef>
          </c:tx>
          <c:spPr>
            <a:solidFill>
              <a:srgbClr val="EA0000"/>
            </a:solidFill>
            <a:ln>
              <a:noFill/>
            </a:ln>
            <a:effectLst/>
          </c:spPr>
          <c:invertIfNegative val="0"/>
          <c:cat>
            <c:strRef>
              <c:f>Tables!$H$31:$H$36</c:f>
              <c:strCache>
                <c:ptCount val="6"/>
                <c:pt idx="0">
                  <c:v>2020</c:v>
                </c:pt>
                <c:pt idx="1">
                  <c:v>2021</c:v>
                </c:pt>
                <c:pt idx="2">
                  <c:v>2022</c:v>
                </c:pt>
                <c:pt idx="3">
                  <c:v>2023</c:v>
                </c:pt>
                <c:pt idx="4">
                  <c:v>2024</c:v>
                </c:pt>
                <c:pt idx="5">
                  <c:v>2025</c:v>
                </c:pt>
              </c:strCache>
            </c:strRef>
          </c:cat>
          <c:val>
            <c:numRef>
              <c:f>Tables!$I$31:$I$36</c:f>
              <c:numCache>
                <c:formatCode>General</c:formatCode>
                <c:ptCount val="6"/>
                <c:pt idx="0">
                  <c:v>0</c:v>
                </c:pt>
                <c:pt idx="1">
                  <c:v>271</c:v>
                </c:pt>
                <c:pt idx="2">
                  <c:v>396</c:v>
                </c:pt>
                <c:pt idx="3">
                  <c:v>542</c:v>
                </c:pt>
                <c:pt idx="4">
                  <c:v>670</c:v>
                </c:pt>
                <c:pt idx="5">
                  <c:v>811</c:v>
                </c:pt>
              </c:numCache>
            </c:numRef>
          </c:val>
          <c:extLst>
            <c:ext xmlns:c16="http://schemas.microsoft.com/office/drawing/2014/chart" uri="{C3380CC4-5D6E-409C-BE32-E72D297353CC}">
              <c16:uniqueId val="{00000000-0065-4070-B01F-AF587B3C0FE5}"/>
            </c:ext>
          </c:extLst>
        </c:ser>
        <c:ser>
          <c:idx val="1"/>
          <c:order val="1"/>
          <c:tx>
            <c:strRef>
              <c:f>Tables!$J$30</c:f>
              <c:strCache>
                <c:ptCount val="1"/>
                <c:pt idx="0">
                  <c:v> Franchise Stores</c:v>
                </c:pt>
              </c:strCache>
            </c:strRef>
          </c:tx>
          <c:spPr>
            <a:solidFill>
              <a:srgbClr val="006098"/>
            </a:solidFill>
            <a:ln>
              <a:noFill/>
            </a:ln>
            <a:effectLst/>
          </c:spPr>
          <c:invertIfNegative val="0"/>
          <c:cat>
            <c:strRef>
              <c:f>Tables!$H$31:$H$36</c:f>
              <c:strCache>
                <c:ptCount val="6"/>
                <c:pt idx="0">
                  <c:v>2020</c:v>
                </c:pt>
                <c:pt idx="1">
                  <c:v>2021</c:v>
                </c:pt>
                <c:pt idx="2">
                  <c:v>2022</c:v>
                </c:pt>
                <c:pt idx="3">
                  <c:v>2023</c:v>
                </c:pt>
                <c:pt idx="4">
                  <c:v>2024</c:v>
                </c:pt>
                <c:pt idx="5">
                  <c:v>2025</c:v>
                </c:pt>
              </c:strCache>
            </c:strRef>
          </c:cat>
          <c:val>
            <c:numRef>
              <c:f>Tables!$J$31:$J$36</c:f>
              <c:numCache>
                <c:formatCode>General</c:formatCode>
                <c:ptCount val="6"/>
                <c:pt idx="0">
                  <c:v>0</c:v>
                </c:pt>
                <c:pt idx="1">
                  <c:v>267</c:v>
                </c:pt>
                <c:pt idx="2">
                  <c:v>274</c:v>
                </c:pt>
                <c:pt idx="3">
                  <c:v>289</c:v>
                </c:pt>
                <c:pt idx="4">
                  <c:v>312</c:v>
                </c:pt>
                <c:pt idx="5">
                  <c:v>325</c:v>
                </c:pt>
              </c:numCache>
            </c:numRef>
          </c:val>
          <c:extLst>
            <c:ext xmlns:c16="http://schemas.microsoft.com/office/drawing/2014/chart" uri="{C3380CC4-5D6E-409C-BE32-E72D297353CC}">
              <c16:uniqueId val="{00000001-0065-4070-B01F-AF587B3C0FE5}"/>
            </c:ext>
          </c:extLst>
        </c:ser>
        <c:dLbls>
          <c:showLegendKey val="0"/>
          <c:showVal val="0"/>
          <c:showCatName val="0"/>
          <c:showSerName val="0"/>
          <c:showPercent val="0"/>
          <c:showBubbleSize val="0"/>
        </c:dLbls>
        <c:gapWidth val="150"/>
        <c:overlap val="100"/>
        <c:axId val="1882411520"/>
        <c:axId val="1882409120"/>
      </c:barChart>
      <c:catAx>
        <c:axId val="1882411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Bebas Kai" panose="04050603020B02020204" pitchFamily="82" charset="0"/>
                <a:ea typeface="+mn-ea"/>
                <a:cs typeface="+mn-cs"/>
              </a:defRPr>
            </a:pPr>
            <a:endParaRPr lang="en-US"/>
          </a:p>
        </c:txPr>
        <c:crossAx val="1882409120"/>
        <c:crosses val="autoZero"/>
        <c:auto val="1"/>
        <c:lblAlgn val="ctr"/>
        <c:lblOffset val="100"/>
        <c:noMultiLvlLbl val="0"/>
      </c:catAx>
      <c:valAx>
        <c:axId val="188240912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Bebas Kai" panose="04050603020B02020204" pitchFamily="82" charset="0"/>
                <a:ea typeface="+mn-ea"/>
                <a:cs typeface="+mn-cs"/>
              </a:defRPr>
            </a:pPr>
            <a:endParaRPr lang="en-US"/>
          </a:p>
        </c:txPr>
        <c:crossAx val="18824115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Sequel" panose="00000500000000000000" pitchFamily="2"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jpg"/><Relationship Id="rId5" Type="http://schemas.openxmlformats.org/officeDocument/2006/relationships/chart" Target="../charts/chart4.xml"/><Relationship Id="rId4" Type="http://schemas.openxmlformats.org/officeDocument/2006/relationships/chart" Target="../charts/chart3.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2.xml"/><Relationship Id="rId3" Type="http://schemas.openxmlformats.org/officeDocument/2006/relationships/chart" Target="../charts/chart7.xml"/><Relationship Id="rId7" Type="http://schemas.openxmlformats.org/officeDocument/2006/relationships/chart" Target="../charts/chart11.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editAs="oneCell">
    <xdr:from>
      <xdr:col>0</xdr:col>
      <xdr:colOff>732517</xdr:colOff>
      <xdr:row>0</xdr:row>
      <xdr:rowOff>0</xdr:rowOff>
    </xdr:from>
    <xdr:to>
      <xdr:col>16</xdr:col>
      <xdr:colOff>480786</xdr:colOff>
      <xdr:row>15</xdr:row>
      <xdr:rowOff>3594</xdr:rowOff>
    </xdr:to>
    <xdr:pic>
      <xdr:nvPicPr>
        <xdr:cNvPr id="3" name="Picture 2">
          <a:extLst>
            <a:ext uri="{FF2B5EF4-FFF2-40B4-BE49-F238E27FC236}">
              <a16:creationId xmlns:a16="http://schemas.microsoft.com/office/drawing/2014/main" id="{DFECACBE-5A53-F2D6-2906-0ED6FB68B5E4}"/>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8889" b="29166"/>
        <a:stretch>
          <a:fillRect/>
        </a:stretch>
      </xdr:blipFill>
      <xdr:spPr>
        <a:xfrm>
          <a:off x="732517" y="0"/>
          <a:ext cx="12051394" cy="2861094"/>
        </a:xfrm>
        <a:prstGeom prst="rect">
          <a:avLst/>
        </a:prstGeom>
      </xdr:spPr>
    </xdr:pic>
    <xdr:clientData/>
  </xdr:twoCellAnchor>
  <xdr:twoCellAnchor>
    <xdr:from>
      <xdr:col>0</xdr:col>
      <xdr:colOff>95250</xdr:colOff>
      <xdr:row>15</xdr:row>
      <xdr:rowOff>95250</xdr:rowOff>
    </xdr:from>
    <xdr:to>
      <xdr:col>3</xdr:col>
      <xdr:colOff>299357</xdr:colOff>
      <xdr:row>19</xdr:row>
      <xdr:rowOff>108857</xdr:rowOff>
    </xdr:to>
    <xdr:sp macro="" textlink="">
      <xdr:nvSpPr>
        <xdr:cNvPr id="5" name="Rectangle: Rounded Corners 4">
          <a:extLst>
            <a:ext uri="{FF2B5EF4-FFF2-40B4-BE49-F238E27FC236}">
              <a16:creationId xmlns:a16="http://schemas.microsoft.com/office/drawing/2014/main" id="{8D55F667-894E-4EFE-B514-46E645A3C789}"/>
            </a:ext>
          </a:extLst>
        </xdr:cNvPr>
        <xdr:cNvSpPr/>
      </xdr:nvSpPr>
      <xdr:spPr>
        <a:xfrm>
          <a:off x="95250" y="2952750"/>
          <a:ext cx="2707821" cy="775607"/>
        </a:xfrm>
        <a:prstGeom prst="roundRect">
          <a:avLst/>
        </a:prstGeom>
        <a:solidFill>
          <a:srgbClr val="EA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397328</xdr:colOff>
      <xdr:row>15</xdr:row>
      <xdr:rowOff>97971</xdr:rowOff>
    </xdr:from>
    <xdr:to>
      <xdr:col>5</xdr:col>
      <xdr:colOff>1036863</xdr:colOff>
      <xdr:row>19</xdr:row>
      <xdr:rowOff>111578</xdr:rowOff>
    </xdr:to>
    <xdr:sp macro="" textlink="">
      <xdr:nvSpPr>
        <xdr:cNvPr id="6" name="Rectangle: Rounded Corners 5">
          <a:extLst>
            <a:ext uri="{FF2B5EF4-FFF2-40B4-BE49-F238E27FC236}">
              <a16:creationId xmlns:a16="http://schemas.microsoft.com/office/drawing/2014/main" id="{28272ED4-E1F4-4DFB-98DC-6B5D140B7CF6}"/>
            </a:ext>
          </a:extLst>
        </xdr:cNvPr>
        <xdr:cNvSpPr/>
      </xdr:nvSpPr>
      <xdr:spPr>
        <a:xfrm>
          <a:off x="2901042" y="2955471"/>
          <a:ext cx="2707821" cy="775607"/>
        </a:xfrm>
        <a:prstGeom prst="roundRect">
          <a:avLst/>
        </a:prstGeom>
        <a:solidFill>
          <a:srgbClr val="EA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1121228</xdr:colOff>
      <xdr:row>15</xdr:row>
      <xdr:rowOff>87086</xdr:rowOff>
    </xdr:from>
    <xdr:to>
      <xdr:col>9</xdr:col>
      <xdr:colOff>291192</xdr:colOff>
      <xdr:row>19</xdr:row>
      <xdr:rowOff>100693</xdr:rowOff>
    </xdr:to>
    <xdr:sp macro="" textlink="">
      <xdr:nvSpPr>
        <xdr:cNvPr id="7" name="Rectangle: Rounded Corners 6">
          <a:extLst>
            <a:ext uri="{FF2B5EF4-FFF2-40B4-BE49-F238E27FC236}">
              <a16:creationId xmlns:a16="http://schemas.microsoft.com/office/drawing/2014/main" id="{702BDD53-D0EF-4A95-9EAF-8F14CEE1188E}"/>
            </a:ext>
          </a:extLst>
        </xdr:cNvPr>
        <xdr:cNvSpPr/>
      </xdr:nvSpPr>
      <xdr:spPr>
        <a:xfrm>
          <a:off x="5693228" y="2944586"/>
          <a:ext cx="2707821" cy="775607"/>
        </a:xfrm>
        <a:prstGeom prst="roundRect">
          <a:avLst/>
        </a:prstGeom>
        <a:solidFill>
          <a:srgbClr val="EA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375557</xdr:colOff>
      <xdr:row>15</xdr:row>
      <xdr:rowOff>76201</xdr:rowOff>
    </xdr:from>
    <xdr:to>
      <xdr:col>14</xdr:col>
      <xdr:colOff>21771</xdr:colOff>
      <xdr:row>19</xdr:row>
      <xdr:rowOff>89808</xdr:rowOff>
    </xdr:to>
    <xdr:sp macro="" textlink="">
      <xdr:nvSpPr>
        <xdr:cNvPr id="8" name="Rectangle: Rounded Corners 7">
          <a:extLst>
            <a:ext uri="{FF2B5EF4-FFF2-40B4-BE49-F238E27FC236}">
              <a16:creationId xmlns:a16="http://schemas.microsoft.com/office/drawing/2014/main" id="{5BC9BBA1-7F34-485D-A10C-D2D3B714235D}"/>
            </a:ext>
          </a:extLst>
        </xdr:cNvPr>
        <xdr:cNvSpPr/>
      </xdr:nvSpPr>
      <xdr:spPr>
        <a:xfrm>
          <a:off x="8485414" y="2933701"/>
          <a:ext cx="2707821" cy="775607"/>
        </a:xfrm>
        <a:prstGeom prst="roundRect">
          <a:avLst/>
        </a:prstGeom>
        <a:solidFill>
          <a:srgbClr val="EA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119743</xdr:colOff>
      <xdr:row>15</xdr:row>
      <xdr:rowOff>78921</xdr:rowOff>
    </xdr:from>
    <xdr:to>
      <xdr:col>18</xdr:col>
      <xdr:colOff>378278</xdr:colOff>
      <xdr:row>19</xdr:row>
      <xdr:rowOff>92528</xdr:rowOff>
    </xdr:to>
    <xdr:sp macro="" textlink="">
      <xdr:nvSpPr>
        <xdr:cNvPr id="9" name="Rectangle: Rounded Corners 8">
          <a:extLst>
            <a:ext uri="{FF2B5EF4-FFF2-40B4-BE49-F238E27FC236}">
              <a16:creationId xmlns:a16="http://schemas.microsoft.com/office/drawing/2014/main" id="{8D0E8D31-EFE6-4261-A2DC-057DC0E8D6C3}"/>
            </a:ext>
          </a:extLst>
        </xdr:cNvPr>
        <xdr:cNvSpPr/>
      </xdr:nvSpPr>
      <xdr:spPr>
        <a:xfrm>
          <a:off x="11291207" y="2936421"/>
          <a:ext cx="2707821" cy="775607"/>
        </a:xfrm>
        <a:prstGeom prst="roundRect">
          <a:avLst/>
        </a:prstGeom>
        <a:solidFill>
          <a:srgbClr val="EA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476250</xdr:colOff>
      <xdr:row>15</xdr:row>
      <xdr:rowOff>81642</xdr:rowOff>
    </xdr:from>
    <xdr:to>
      <xdr:col>23</xdr:col>
      <xdr:colOff>122464</xdr:colOff>
      <xdr:row>19</xdr:row>
      <xdr:rowOff>95249</xdr:rowOff>
    </xdr:to>
    <xdr:sp macro="" textlink="">
      <xdr:nvSpPr>
        <xdr:cNvPr id="10" name="Rectangle: Rounded Corners 9">
          <a:extLst>
            <a:ext uri="{FF2B5EF4-FFF2-40B4-BE49-F238E27FC236}">
              <a16:creationId xmlns:a16="http://schemas.microsoft.com/office/drawing/2014/main" id="{0551A869-E627-4794-9D5B-11EDC29DAB89}"/>
            </a:ext>
          </a:extLst>
        </xdr:cNvPr>
        <xdr:cNvSpPr/>
      </xdr:nvSpPr>
      <xdr:spPr>
        <a:xfrm>
          <a:off x="14097000" y="2939142"/>
          <a:ext cx="2707821" cy="775607"/>
        </a:xfrm>
        <a:prstGeom prst="roundRect">
          <a:avLst/>
        </a:prstGeom>
        <a:solidFill>
          <a:srgbClr val="EA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734786</xdr:colOff>
      <xdr:row>20</xdr:row>
      <xdr:rowOff>0</xdr:rowOff>
    </xdr:from>
    <xdr:to>
      <xdr:col>5</xdr:col>
      <xdr:colOff>693964</xdr:colOff>
      <xdr:row>22</xdr:row>
      <xdr:rowOff>163285</xdr:rowOff>
    </xdr:to>
    <xdr:sp macro="" textlink="">
      <xdr:nvSpPr>
        <xdr:cNvPr id="11" name="TextBox 10">
          <a:extLst>
            <a:ext uri="{FF2B5EF4-FFF2-40B4-BE49-F238E27FC236}">
              <a16:creationId xmlns:a16="http://schemas.microsoft.com/office/drawing/2014/main" id="{6A69A319-CF56-7B8E-7011-97A8363B6A31}"/>
            </a:ext>
          </a:extLst>
        </xdr:cNvPr>
        <xdr:cNvSpPr txBox="1"/>
      </xdr:nvSpPr>
      <xdr:spPr>
        <a:xfrm>
          <a:off x="3238500" y="3810000"/>
          <a:ext cx="2027464" cy="5442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spc="100" baseline="0">
              <a:ln w="19050">
                <a:noFill/>
              </a:ln>
              <a:solidFill>
                <a:schemeClr val="bg1"/>
              </a:solidFill>
              <a:effectLst/>
              <a:latin typeface="Sequel" panose="00000500000000000000" pitchFamily="2" charset="0"/>
            </a:rPr>
            <a:t>Revenue</a:t>
          </a:r>
          <a:endParaRPr lang="en-US" sz="2400" spc="100" baseline="0">
            <a:ln w="19050">
              <a:noFill/>
            </a:ln>
            <a:solidFill>
              <a:schemeClr val="bg1"/>
            </a:solidFill>
            <a:effectLst/>
            <a:latin typeface="Sequel" panose="00000500000000000000" pitchFamily="2" charset="0"/>
          </a:endParaRPr>
        </a:p>
      </xdr:txBody>
    </xdr:sp>
    <xdr:clientData/>
  </xdr:twoCellAnchor>
  <xdr:twoCellAnchor>
    <xdr:from>
      <xdr:col>0</xdr:col>
      <xdr:colOff>424544</xdr:colOff>
      <xdr:row>20</xdr:row>
      <xdr:rowOff>2720</xdr:rowOff>
    </xdr:from>
    <xdr:to>
      <xdr:col>2</xdr:col>
      <xdr:colOff>968829</xdr:colOff>
      <xdr:row>22</xdr:row>
      <xdr:rowOff>166005</xdr:rowOff>
    </xdr:to>
    <xdr:sp macro="" textlink="">
      <xdr:nvSpPr>
        <xdr:cNvPr id="2" name="TextBox 1">
          <a:extLst>
            <a:ext uri="{FF2B5EF4-FFF2-40B4-BE49-F238E27FC236}">
              <a16:creationId xmlns:a16="http://schemas.microsoft.com/office/drawing/2014/main" id="{3240BF46-1E67-4457-A70D-F307E1D10F11}"/>
            </a:ext>
          </a:extLst>
        </xdr:cNvPr>
        <xdr:cNvSpPr txBox="1"/>
      </xdr:nvSpPr>
      <xdr:spPr>
        <a:xfrm>
          <a:off x="424544" y="3812720"/>
          <a:ext cx="2027464" cy="5442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spc="100" baseline="0">
              <a:ln w="19050">
                <a:noFill/>
              </a:ln>
              <a:solidFill>
                <a:schemeClr val="bg1"/>
              </a:solidFill>
              <a:effectLst/>
              <a:latin typeface="Sequel" panose="00000500000000000000" pitchFamily="2" charset="0"/>
            </a:rPr>
            <a:t>Year</a:t>
          </a:r>
        </a:p>
      </xdr:txBody>
    </xdr:sp>
    <xdr:clientData/>
  </xdr:twoCellAnchor>
  <xdr:twoCellAnchor>
    <xdr:from>
      <xdr:col>6</xdr:col>
      <xdr:colOff>263980</xdr:colOff>
      <xdr:row>20</xdr:row>
      <xdr:rowOff>19051</xdr:rowOff>
    </xdr:from>
    <xdr:to>
      <xdr:col>8</xdr:col>
      <xdr:colOff>590551</xdr:colOff>
      <xdr:row>25</xdr:row>
      <xdr:rowOff>149679</xdr:rowOff>
    </xdr:to>
    <xdr:sp macro="" textlink="">
      <xdr:nvSpPr>
        <xdr:cNvPr id="4" name="TextBox 3">
          <a:extLst>
            <a:ext uri="{FF2B5EF4-FFF2-40B4-BE49-F238E27FC236}">
              <a16:creationId xmlns:a16="http://schemas.microsoft.com/office/drawing/2014/main" id="{411C331E-6B55-4B29-91A5-89BA6BE7E12E}"/>
            </a:ext>
          </a:extLst>
        </xdr:cNvPr>
        <xdr:cNvSpPr txBox="1"/>
      </xdr:nvSpPr>
      <xdr:spPr>
        <a:xfrm>
          <a:off x="6060623" y="3829051"/>
          <a:ext cx="2027464" cy="10831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spc="100" baseline="0">
              <a:ln w="19050">
                <a:noFill/>
              </a:ln>
              <a:solidFill>
                <a:schemeClr val="bg1"/>
              </a:solidFill>
              <a:effectLst/>
              <a:latin typeface="Sequel" panose="00000500000000000000" pitchFamily="2" charset="0"/>
            </a:rPr>
            <a:t>Revenue Growth %</a:t>
          </a:r>
          <a:endParaRPr lang="en-US" sz="2400" spc="100" baseline="0">
            <a:ln w="19050">
              <a:noFill/>
            </a:ln>
            <a:solidFill>
              <a:schemeClr val="bg1"/>
            </a:solidFill>
            <a:effectLst/>
            <a:latin typeface="Sequel" panose="00000500000000000000" pitchFamily="2" charset="0"/>
          </a:endParaRPr>
        </a:p>
      </xdr:txBody>
    </xdr:sp>
    <xdr:clientData/>
  </xdr:twoCellAnchor>
  <xdr:twoCellAnchor>
    <xdr:from>
      <xdr:col>10</xdr:col>
      <xdr:colOff>144237</xdr:colOff>
      <xdr:row>20</xdr:row>
      <xdr:rowOff>8164</xdr:rowOff>
    </xdr:from>
    <xdr:to>
      <xdr:col>13</xdr:col>
      <xdr:colOff>334737</xdr:colOff>
      <xdr:row>25</xdr:row>
      <xdr:rowOff>163285</xdr:rowOff>
    </xdr:to>
    <xdr:sp macro="" textlink="">
      <xdr:nvSpPr>
        <xdr:cNvPr id="12" name="TextBox 11">
          <a:extLst>
            <a:ext uri="{FF2B5EF4-FFF2-40B4-BE49-F238E27FC236}">
              <a16:creationId xmlns:a16="http://schemas.microsoft.com/office/drawing/2014/main" id="{A07E1EC6-D533-4327-97E5-1D53CDB8BD9A}"/>
            </a:ext>
          </a:extLst>
        </xdr:cNvPr>
        <xdr:cNvSpPr txBox="1"/>
      </xdr:nvSpPr>
      <xdr:spPr>
        <a:xfrm>
          <a:off x="8866416" y="3818164"/>
          <a:ext cx="2027464" cy="1107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spc="100" baseline="0">
              <a:ln w="19050">
                <a:noFill/>
              </a:ln>
              <a:solidFill>
                <a:schemeClr val="bg1"/>
              </a:solidFill>
              <a:effectLst/>
              <a:latin typeface="Sequel" panose="00000500000000000000" pitchFamily="2" charset="0"/>
            </a:rPr>
            <a:t>Total Stores</a:t>
          </a:r>
          <a:endParaRPr lang="en-US" sz="2400" spc="100" baseline="0">
            <a:ln w="19050">
              <a:noFill/>
            </a:ln>
            <a:solidFill>
              <a:schemeClr val="bg1"/>
            </a:solidFill>
            <a:effectLst/>
            <a:latin typeface="Sequel" panose="00000500000000000000" pitchFamily="2" charset="0"/>
          </a:endParaRPr>
        </a:p>
      </xdr:txBody>
    </xdr:sp>
    <xdr:clientData/>
  </xdr:twoCellAnchor>
  <xdr:twoCellAnchor>
    <xdr:from>
      <xdr:col>14</xdr:col>
      <xdr:colOff>514352</xdr:colOff>
      <xdr:row>20</xdr:row>
      <xdr:rowOff>10887</xdr:rowOff>
    </xdr:from>
    <xdr:to>
      <xdr:col>18</xdr:col>
      <xdr:colOff>92530</xdr:colOff>
      <xdr:row>25</xdr:row>
      <xdr:rowOff>149680</xdr:rowOff>
    </xdr:to>
    <xdr:sp macro="" textlink="">
      <xdr:nvSpPr>
        <xdr:cNvPr id="13" name="TextBox 12">
          <a:extLst>
            <a:ext uri="{FF2B5EF4-FFF2-40B4-BE49-F238E27FC236}">
              <a16:creationId xmlns:a16="http://schemas.microsoft.com/office/drawing/2014/main" id="{DE8D61B4-A8BA-4690-BA5E-2D04CA4E2B9D}"/>
            </a:ext>
          </a:extLst>
        </xdr:cNvPr>
        <xdr:cNvSpPr txBox="1"/>
      </xdr:nvSpPr>
      <xdr:spPr>
        <a:xfrm>
          <a:off x="11685816" y="3820887"/>
          <a:ext cx="2027464" cy="10912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spc="100" baseline="0">
              <a:ln w="19050">
                <a:noFill/>
              </a:ln>
              <a:solidFill>
                <a:schemeClr val="bg1"/>
              </a:solidFill>
              <a:effectLst/>
              <a:latin typeface="Sequel" panose="00000500000000000000" pitchFamily="2" charset="0"/>
            </a:rPr>
            <a:t>Revenue per Store</a:t>
          </a:r>
        </a:p>
      </xdr:txBody>
    </xdr:sp>
    <xdr:clientData/>
  </xdr:twoCellAnchor>
  <xdr:twoCellAnchor>
    <xdr:from>
      <xdr:col>19</xdr:col>
      <xdr:colOff>95252</xdr:colOff>
      <xdr:row>20</xdr:row>
      <xdr:rowOff>13608</xdr:rowOff>
    </xdr:from>
    <xdr:to>
      <xdr:col>22</xdr:col>
      <xdr:colOff>530679</xdr:colOff>
      <xdr:row>25</xdr:row>
      <xdr:rowOff>176894</xdr:rowOff>
    </xdr:to>
    <xdr:sp macro="" textlink="">
      <xdr:nvSpPr>
        <xdr:cNvPr id="14" name="TextBox 13">
          <a:extLst>
            <a:ext uri="{FF2B5EF4-FFF2-40B4-BE49-F238E27FC236}">
              <a16:creationId xmlns:a16="http://schemas.microsoft.com/office/drawing/2014/main" id="{0A7C3B72-4A31-415B-A473-E0A1B2715427}"/>
            </a:ext>
          </a:extLst>
        </xdr:cNvPr>
        <xdr:cNvSpPr txBox="1"/>
      </xdr:nvSpPr>
      <xdr:spPr>
        <a:xfrm>
          <a:off x="14328323" y="3823608"/>
          <a:ext cx="2272392" cy="11157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spc="100" baseline="0">
              <a:ln w="19050">
                <a:noFill/>
              </a:ln>
              <a:solidFill>
                <a:schemeClr val="bg1"/>
              </a:solidFill>
              <a:effectLst/>
              <a:latin typeface="Sequel" panose="00000500000000000000" pitchFamily="2" charset="0"/>
            </a:rPr>
            <a:t>Net Profit Margin</a:t>
          </a:r>
        </a:p>
      </xdr:txBody>
    </xdr:sp>
    <xdr:clientData/>
  </xdr:twoCellAnchor>
  <xdr:twoCellAnchor editAs="oneCell">
    <xdr:from>
      <xdr:col>19</xdr:col>
      <xdr:colOff>0</xdr:colOff>
      <xdr:row>1</xdr:row>
      <xdr:rowOff>0</xdr:rowOff>
    </xdr:from>
    <xdr:to>
      <xdr:col>22</xdr:col>
      <xdr:colOff>95249</xdr:colOff>
      <xdr:row>14</xdr:row>
      <xdr:rowOff>174625</xdr:rowOff>
    </xdr:to>
    <mc:AlternateContent xmlns:mc="http://schemas.openxmlformats.org/markup-compatibility/2006" xmlns:a14="http://schemas.microsoft.com/office/drawing/2010/main">
      <mc:Choice Requires="a14">
        <xdr:graphicFrame macro="">
          <xdr:nvGraphicFramePr>
            <xdr:cNvPr id="17" name="Year">
              <a:extLst>
                <a:ext uri="{FF2B5EF4-FFF2-40B4-BE49-F238E27FC236}">
                  <a16:creationId xmlns:a16="http://schemas.microsoft.com/office/drawing/2014/main" id="{E4474202-E974-4EE7-8FC8-EC556C8B5A38}"/>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4112875" y="190500"/>
              <a:ext cx="1904999" cy="2651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476250</xdr:colOff>
      <xdr:row>16</xdr:row>
      <xdr:rowOff>47625</xdr:rowOff>
    </xdr:from>
    <xdr:to>
      <xdr:col>2</xdr:col>
      <xdr:colOff>936625</xdr:colOff>
      <xdr:row>18</xdr:row>
      <xdr:rowOff>174625</xdr:rowOff>
    </xdr:to>
    <xdr:sp macro="" textlink="Tables!G22">
      <xdr:nvSpPr>
        <xdr:cNvPr id="18" name="TextBox 17">
          <a:extLst>
            <a:ext uri="{FF2B5EF4-FFF2-40B4-BE49-F238E27FC236}">
              <a16:creationId xmlns:a16="http://schemas.microsoft.com/office/drawing/2014/main" id="{4A342355-493A-5DC1-4FA5-5B41235B311E}"/>
            </a:ext>
          </a:extLst>
        </xdr:cNvPr>
        <xdr:cNvSpPr txBox="1"/>
      </xdr:nvSpPr>
      <xdr:spPr>
        <a:xfrm>
          <a:off x="476250" y="3095625"/>
          <a:ext cx="1936750"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59DC984-A63D-4E29-9A49-998A97CB87EC}" type="TxLink">
            <a:rPr lang="en-US" sz="3600" b="0" i="0" u="none" strike="noStrike">
              <a:solidFill>
                <a:schemeClr val="bg1"/>
              </a:solidFill>
              <a:latin typeface="Bebas Kai" panose="04050603020B02020204" pitchFamily="82" charset="0"/>
            </a:rPr>
            <a:pPr algn="ctr"/>
            <a:t>2025</a:t>
          </a:fld>
          <a:endParaRPr lang="en-US" sz="3600">
            <a:solidFill>
              <a:schemeClr val="bg1"/>
            </a:solidFill>
            <a:latin typeface="Bebas Kai" panose="04050603020B02020204" pitchFamily="82" charset="0"/>
          </a:endParaRPr>
        </a:p>
      </xdr:txBody>
    </xdr:sp>
    <xdr:clientData/>
  </xdr:twoCellAnchor>
  <xdr:twoCellAnchor>
    <xdr:from>
      <xdr:col>3</xdr:col>
      <xdr:colOff>428625</xdr:colOff>
      <xdr:row>15</xdr:row>
      <xdr:rowOff>95250</xdr:rowOff>
    </xdr:from>
    <xdr:to>
      <xdr:col>5</xdr:col>
      <xdr:colOff>1016000</xdr:colOff>
      <xdr:row>19</xdr:row>
      <xdr:rowOff>79375</xdr:rowOff>
    </xdr:to>
    <xdr:sp macro="" textlink="Tables!I22">
      <xdr:nvSpPr>
        <xdr:cNvPr id="19" name="TextBox 18">
          <a:extLst>
            <a:ext uri="{FF2B5EF4-FFF2-40B4-BE49-F238E27FC236}">
              <a16:creationId xmlns:a16="http://schemas.microsoft.com/office/drawing/2014/main" id="{D9312B77-69A9-4199-A077-96505EED20B0}"/>
            </a:ext>
          </a:extLst>
        </xdr:cNvPr>
        <xdr:cNvSpPr txBox="1"/>
      </xdr:nvSpPr>
      <xdr:spPr>
        <a:xfrm>
          <a:off x="2921000" y="2952750"/>
          <a:ext cx="2667000" cy="746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39CA02-9A66-43DF-B088-E95632866463}" type="TxLink">
            <a:rPr lang="en-US" sz="3600" b="0" i="0" u="none" strike="noStrike">
              <a:solidFill>
                <a:schemeClr val="bg1"/>
              </a:solidFill>
              <a:latin typeface="Bebas Kai" panose="04050603020B02020204" pitchFamily="82" charset="0"/>
            </a:rPr>
            <a:pPr algn="ctr"/>
            <a:t> $1,638,159,000 </a:t>
          </a:fld>
          <a:endParaRPr lang="en-US" sz="8800">
            <a:solidFill>
              <a:schemeClr val="bg1"/>
            </a:solidFill>
            <a:latin typeface="Bebas Kai" panose="04050603020B02020204" pitchFamily="82" charset="0"/>
          </a:endParaRPr>
        </a:p>
      </xdr:txBody>
    </xdr:sp>
    <xdr:clientData/>
  </xdr:twoCellAnchor>
  <xdr:twoCellAnchor>
    <xdr:from>
      <xdr:col>6</xdr:col>
      <xdr:colOff>206375</xdr:colOff>
      <xdr:row>16</xdr:row>
      <xdr:rowOff>63500</xdr:rowOff>
    </xdr:from>
    <xdr:to>
      <xdr:col>9</xdr:col>
      <xdr:colOff>0</xdr:colOff>
      <xdr:row>18</xdr:row>
      <xdr:rowOff>142875</xdr:rowOff>
    </xdr:to>
    <xdr:sp macro="" textlink="Tables!J22">
      <xdr:nvSpPr>
        <xdr:cNvPr id="15" name="TextBox 14">
          <a:extLst>
            <a:ext uri="{FF2B5EF4-FFF2-40B4-BE49-F238E27FC236}">
              <a16:creationId xmlns:a16="http://schemas.microsoft.com/office/drawing/2014/main" id="{6F3082FA-B256-D398-E0ED-4DD20906B9DB}"/>
            </a:ext>
          </a:extLst>
        </xdr:cNvPr>
        <xdr:cNvSpPr txBox="1"/>
      </xdr:nvSpPr>
      <xdr:spPr>
        <a:xfrm>
          <a:off x="6000750" y="3111500"/>
          <a:ext cx="2079625" cy="460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9A5B268-10C7-4EB7-8002-9EC043F1261C}" type="TxLink">
            <a:rPr lang="en-US" sz="3600" b="0" i="0" u="none" strike="noStrike">
              <a:solidFill>
                <a:schemeClr val="bg1"/>
              </a:solidFill>
              <a:latin typeface="Bebas Kai" panose="04050603020B02020204" pitchFamily="82" charset="0"/>
            </a:rPr>
            <a:pPr algn="ctr"/>
            <a:t>27.9%</a:t>
          </a:fld>
          <a:endParaRPr lang="en-US" sz="3600">
            <a:solidFill>
              <a:schemeClr val="bg1"/>
            </a:solidFill>
            <a:latin typeface="Bebas Kai" panose="04050603020B02020204" pitchFamily="82" charset="0"/>
          </a:endParaRPr>
        </a:p>
      </xdr:txBody>
    </xdr:sp>
    <xdr:clientData/>
  </xdr:twoCellAnchor>
  <xdr:twoCellAnchor>
    <xdr:from>
      <xdr:col>10</xdr:col>
      <xdr:colOff>15875</xdr:colOff>
      <xdr:row>16</xdr:row>
      <xdr:rowOff>31750</xdr:rowOff>
    </xdr:from>
    <xdr:to>
      <xdr:col>13</xdr:col>
      <xdr:colOff>333375</xdr:colOff>
      <xdr:row>18</xdr:row>
      <xdr:rowOff>142875</xdr:rowOff>
    </xdr:to>
    <xdr:sp macro="" textlink="Tables!Q22">
      <xdr:nvSpPr>
        <xdr:cNvPr id="16" name="TextBox 15">
          <a:extLst>
            <a:ext uri="{FF2B5EF4-FFF2-40B4-BE49-F238E27FC236}">
              <a16:creationId xmlns:a16="http://schemas.microsoft.com/office/drawing/2014/main" id="{A9B0C715-7FA1-0D79-3FD0-60F366971EB2}"/>
            </a:ext>
          </a:extLst>
        </xdr:cNvPr>
        <xdr:cNvSpPr txBox="1"/>
      </xdr:nvSpPr>
      <xdr:spPr>
        <a:xfrm>
          <a:off x="8699500" y="3079750"/>
          <a:ext cx="2127250" cy="492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71AB54F-3C9E-4411-9430-B45A9ABFF269}" type="TxLink">
            <a:rPr lang="en-US" sz="3600" b="0" i="0" u="none" strike="noStrike">
              <a:solidFill>
                <a:schemeClr val="bg1"/>
              </a:solidFill>
              <a:latin typeface="Bebas Kai" panose="04050603020B02020204" pitchFamily="82" charset="0"/>
            </a:rPr>
            <a:pPr algn="ctr"/>
            <a:t>1136</a:t>
          </a:fld>
          <a:endParaRPr lang="en-US" sz="3600">
            <a:solidFill>
              <a:schemeClr val="bg1"/>
            </a:solidFill>
            <a:latin typeface="Bebas Kai" panose="04050603020B02020204" pitchFamily="82" charset="0"/>
          </a:endParaRPr>
        </a:p>
      </xdr:txBody>
    </xdr:sp>
    <xdr:clientData/>
  </xdr:twoCellAnchor>
  <xdr:twoCellAnchor>
    <xdr:from>
      <xdr:col>14</xdr:col>
      <xdr:colOff>79374</xdr:colOff>
      <xdr:row>15</xdr:row>
      <xdr:rowOff>158750</xdr:rowOff>
    </xdr:from>
    <xdr:to>
      <xdr:col>18</xdr:col>
      <xdr:colOff>317499</xdr:colOff>
      <xdr:row>19</xdr:row>
      <xdr:rowOff>47625</xdr:rowOff>
    </xdr:to>
    <xdr:sp macro="" textlink="Tables!U22">
      <xdr:nvSpPr>
        <xdr:cNvPr id="20" name="TextBox 19">
          <a:extLst>
            <a:ext uri="{FF2B5EF4-FFF2-40B4-BE49-F238E27FC236}">
              <a16:creationId xmlns:a16="http://schemas.microsoft.com/office/drawing/2014/main" id="{7BE6D1F0-9503-4288-F25C-C6858AFE9DE6}"/>
            </a:ext>
          </a:extLst>
        </xdr:cNvPr>
        <xdr:cNvSpPr txBox="1"/>
      </xdr:nvSpPr>
      <xdr:spPr>
        <a:xfrm>
          <a:off x="11175999" y="3016250"/>
          <a:ext cx="2651125" cy="650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B63F15D-E929-47BB-BCDC-6B296D490877}" type="TxLink">
            <a:rPr lang="en-US" sz="3600" b="0" i="0" u="none" strike="noStrike">
              <a:solidFill>
                <a:schemeClr val="bg1"/>
              </a:solidFill>
              <a:latin typeface="Bebas Kai" panose="04050603020B02020204" pitchFamily="82" charset="0"/>
            </a:rPr>
            <a:pPr algn="ctr"/>
            <a:t> $1,442,041.37 </a:t>
          </a:fld>
          <a:endParaRPr lang="en-US" sz="3600">
            <a:solidFill>
              <a:schemeClr val="bg1"/>
            </a:solidFill>
            <a:latin typeface="Bebas Kai" panose="04050603020B02020204" pitchFamily="82" charset="0"/>
          </a:endParaRPr>
        </a:p>
      </xdr:txBody>
    </xdr:sp>
    <xdr:clientData/>
  </xdr:twoCellAnchor>
  <xdr:twoCellAnchor>
    <xdr:from>
      <xdr:col>19</xdr:col>
      <xdr:colOff>15875</xdr:colOff>
      <xdr:row>15</xdr:row>
      <xdr:rowOff>174625</xdr:rowOff>
    </xdr:from>
    <xdr:to>
      <xdr:col>22</xdr:col>
      <xdr:colOff>539750</xdr:colOff>
      <xdr:row>18</xdr:row>
      <xdr:rowOff>174625</xdr:rowOff>
    </xdr:to>
    <xdr:sp macro="" textlink="Tables!O22">
      <xdr:nvSpPr>
        <xdr:cNvPr id="21" name="TextBox 20">
          <a:extLst>
            <a:ext uri="{FF2B5EF4-FFF2-40B4-BE49-F238E27FC236}">
              <a16:creationId xmlns:a16="http://schemas.microsoft.com/office/drawing/2014/main" id="{1F73B19B-D77C-F2A4-F3DB-EB52B510F65B}"/>
            </a:ext>
          </a:extLst>
        </xdr:cNvPr>
        <xdr:cNvSpPr txBox="1"/>
      </xdr:nvSpPr>
      <xdr:spPr>
        <a:xfrm>
          <a:off x="14128750" y="3032125"/>
          <a:ext cx="2333625"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1771DC2-1F66-4805-965C-AFA9BD57F9B5}" type="TxLink">
            <a:rPr lang="en-US" sz="3600" b="0" i="0" u="none" strike="noStrike">
              <a:solidFill>
                <a:schemeClr val="bg1"/>
              </a:solidFill>
              <a:latin typeface="Bebas Kai" panose="04050603020B02020204" pitchFamily="82" charset="0"/>
            </a:rPr>
            <a:pPr algn="ctr"/>
            <a:t>7.2%</a:t>
          </a:fld>
          <a:endParaRPr lang="en-US" sz="3600">
            <a:solidFill>
              <a:schemeClr val="bg1"/>
            </a:solidFill>
            <a:latin typeface="Bebas Kai" panose="04050603020B02020204" pitchFamily="82" charset="0"/>
          </a:endParaRPr>
        </a:p>
      </xdr:txBody>
    </xdr:sp>
    <xdr:clientData/>
  </xdr:twoCellAnchor>
  <xdr:twoCellAnchor>
    <xdr:from>
      <xdr:col>0</xdr:col>
      <xdr:colOff>111125</xdr:colOff>
      <xdr:row>27</xdr:row>
      <xdr:rowOff>15875</xdr:rowOff>
    </xdr:from>
    <xdr:to>
      <xdr:col>23</xdr:col>
      <xdr:colOff>269876</xdr:colOff>
      <xdr:row>58</xdr:row>
      <xdr:rowOff>47625</xdr:rowOff>
    </xdr:to>
    <xdr:graphicFrame macro="">
      <xdr:nvGraphicFramePr>
        <xdr:cNvPr id="22" name="Chart 21">
          <a:extLst>
            <a:ext uri="{FF2B5EF4-FFF2-40B4-BE49-F238E27FC236}">
              <a16:creationId xmlns:a16="http://schemas.microsoft.com/office/drawing/2014/main" id="{D60591BE-DD44-4667-8DED-F08BE1D6C2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244560</xdr:colOff>
      <xdr:row>57</xdr:row>
      <xdr:rowOff>141587</xdr:rowOff>
    </xdr:from>
    <xdr:to>
      <xdr:col>9</xdr:col>
      <xdr:colOff>334661</xdr:colOff>
      <xdr:row>84</xdr:row>
      <xdr:rowOff>167331</xdr:rowOff>
    </xdr:to>
    <xdr:graphicFrame macro="">
      <xdr:nvGraphicFramePr>
        <xdr:cNvPr id="24" name="Chart 23">
          <a:extLst>
            <a:ext uri="{FF2B5EF4-FFF2-40B4-BE49-F238E27FC236}">
              <a16:creationId xmlns:a16="http://schemas.microsoft.com/office/drawing/2014/main" id="{AE39A145-2321-444F-913D-954A61C02F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109407</xdr:colOff>
      <xdr:row>58</xdr:row>
      <xdr:rowOff>78516</xdr:rowOff>
    </xdr:from>
    <xdr:to>
      <xdr:col>23</xdr:col>
      <xdr:colOff>102972</xdr:colOff>
      <xdr:row>85</xdr:row>
      <xdr:rowOff>12871</xdr:rowOff>
    </xdr:to>
    <xdr:graphicFrame macro="">
      <xdr:nvGraphicFramePr>
        <xdr:cNvPr id="25" name="Chart 24">
          <a:extLst>
            <a:ext uri="{FF2B5EF4-FFF2-40B4-BE49-F238E27FC236}">
              <a16:creationId xmlns:a16="http://schemas.microsoft.com/office/drawing/2014/main" id="{FBAF809E-0303-446D-B7DA-F13DB89192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287895</xdr:colOff>
      <xdr:row>85</xdr:row>
      <xdr:rowOff>84522</xdr:rowOff>
    </xdr:from>
    <xdr:to>
      <xdr:col>23</xdr:col>
      <xdr:colOff>77229</xdr:colOff>
      <xdr:row>115</xdr:row>
      <xdr:rowOff>0</xdr:rowOff>
    </xdr:to>
    <xdr:graphicFrame macro="">
      <xdr:nvGraphicFramePr>
        <xdr:cNvPr id="26" name="Chart 25">
          <a:extLst>
            <a:ext uri="{FF2B5EF4-FFF2-40B4-BE49-F238E27FC236}">
              <a16:creationId xmlns:a16="http://schemas.microsoft.com/office/drawing/2014/main" id="{6A3CFF7B-8C52-44D9-AD61-4DA304865A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1206500</xdr:colOff>
      <xdr:row>27</xdr:row>
      <xdr:rowOff>63501</xdr:rowOff>
    </xdr:from>
    <xdr:to>
      <xdr:col>14</xdr:col>
      <xdr:colOff>0</xdr:colOff>
      <xdr:row>32</xdr:row>
      <xdr:rowOff>158751</xdr:rowOff>
    </xdr:to>
    <xdr:sp macro="" textlink="">
      <xdr:nvSpPr>
        <xdr:cNvPr id="23" name="TextBox 22">
          <a:extLst>
            <a:ext uri="{FF2B5EF4-FFF2-40B4-BE49-F238E27FC236}">
              <a16:creationId xmlns:a16="http://schemas.microsoft.com/office/drawing/2014/main" id="{63290D16-6491-60D6-CA7C-B1EFB480960D}"/>
            </a:ext>
          </a:extLst>
        </xdr:cNvPr>
        <xdr:cNvSpPr txBox="1"/>
      </xdr:nvSpPr>
      <xdr:spPr>
        <a:xfrm>
          <a:off x="5778500" y="5207001"/>
          <a:ext cx="5318125" cy="1047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rtl="0" eaLnBrk="1" fontAlgn="auto" latinLnBrk="0" hangingPunct="1">
            <a:lnSpc>
              <a:spcPct val="100000"/>
            </a:lnSpc>
            <a:spcBef>
              <a:spcPts val="0"/>
            </a:spcBef>
            <a:spcAft>
              <a:spcPts val="0"/>
            </a:spcAft>
            <a:buClrTx/>
            <a:buSzTx/>
            <a:buFontTx/>
            <a:buNone/>
            <a:tabLst/>
            <a:defRPr sz="3600" b="0" i="0" u="none" strike="noStrike" kern="1200" spc="0" baseline="0">
              <a:solidFill>
                <a:srgbClr val="FEDB0A"/>
              </a:solidFill>
              <a:latin typeface="Vegan Style Personal Use" pitchFamily="2" charset="0"/>
              <a:ea typeface="+mn-ea"/>
              <a:cs typeface="+mn-cs"/>
            </a:defRPr>
          </a:pPr>
          <a:r>
            <a:rPr lang="en-US" sz="3600" b="0" i="0" u="none" strike="noStrike" kern="1200" spc="0" baseline="0">
              <a:solidFill>
                <a:srgbClr val="EA0000"/>
              </a:solidFill>
              <a:latin typeface="Vegan Style Personal Use" pitchFamily="2" charset="0"/>
              <a:ea typeface="+mn-ea"/>
              <a:cs typeface="+mn-cs"/>
            </a:rPr>
            <a:t>Revenue  vs  Total  Stores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66675</xdr:colOff>
      <xdr:row>0</xdr:row>
      <xdr:rowOff>180975</xdr:rowOff>
    </xdr:from>
    <xdr:to>
      <xdr:col>7</xdr:col>
      <xdr:colOff>371475</xdr:colOff>
      <xdr:row>15</xdr:row>
      <xdr:rowOff>66675</xdr:rowOff>
    </xdr:to>
    <xdr:graphicFrame macro="">
      <xdr:nvGraphicFramePr>
        <xdr:cNvPr id="2" name="Chart 1">
          <a:extLst>
            <a:ext uri="{FF2B5EF4-FFF2-40B4-BE49-F238E27FC236}">
              <a16:creationId xmlns:a16="http://schemas.microsoft.com/office/drawing/2014/main" id="{F1C48E12-524E-4E35-AF12-7787C55A5C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85725</xdr:colOff>
      <xdr:row>16</xdr:row>
      <xdr:rowOff>0</xdr:rowOff>
    </xdr:from>
    <xdr:to>
      <xdr:col>7</xdr:col>
      <xdr:colOff>390525</xdr:colOff>
      <xdr:row>30</xdr:row>
      <xdr:rowOff>76200</xdr:rowOff>
    </xdr:to>
    <xdr:graphicFrame macro="">
      <xdr:nvGraphicFramePr>
        <xdr:cNvPr id="3" name="Chart 2">
          <a:extLst>
            <a:ext uri="{FF2B5EF4-FFF2-40B4-BE49-F238E27FC236}">
              <a16:creationId xmlns:a16="http://schemas.microsoft.com/office/drawing/2014/main" id="{24261BEC-D4C7-48C8-BC15-10A5D1EF6E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1</xdr:row>
      <xdr:rowOff>0</xdr:rowOff>
    </xdr:from>
    <xdr:to>
      <xdr:col>15</xdr:col>
      <xdr:colOff>304800</xdr:colOff>
      <xdr:row>17</xdr:row>
      <xdr:rowOff>107156</xdr:rowOff>
    </xdr:to>
    <xdr:graphicFrame macro="">
      <xdr:nvGraphicFramePr>
        <xdr:cNvPr id="4" name="Chart 3">
          <a:extLst>
            <a:ext uri="{FF2B5EF4-FFF2-40B4-BE49-F238E27FC236}">
              <a16:creationId xmlns:a16="http://schemas.microsoft.com/office/drawing/2014/main" id="{1F50EFFD-79CE-462B-BAC6-3F2244DCEB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18</xdr:row>
      <xdr:rowOff>154781</xdr:rowOff>
    </xdr:from>
    <xdr:to>
      <xdr:col>15</xdr:col>
      <xdr:colOff>304800</xdr:colOff>
      <xdr:row>33</xdr:row>
      <xdr:rowOff>40481</xdr:rowOff>
    </xdr:to>
    <xdr:graphicFrame macro="">
      <xdr:nvGraphicFramePr>
        <xdr:cNvPr id="5" name="Chart 4">
          <a:extLst>
            <a:ext uri="{FF2B5EF4-FFF2-40B4-BE49-F238E27FC236}">
              <a16:creationId xmlns:a16="http://schemas.microsoft.com/office/drawing/2014/main" id="{E362009C-1674-4CCE-B73E-F90C42079A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0</xdr:colOff>
      <xdr:row>1</xdr:row>
      <xdr:rowOff>0</xdr:rowOff>
    </xdr:from>
    <xdr:to>
      <xdr:col>23</xdr:col>
      <xdr:colOff>304800</xdr:colOff>
      <xdr:row>15</xdr:row>
      <xdr:rowOff>76200</xdr:rowOff>
    </xdr:to>
    <xdr:graphicFrame macro="">
      <xdr:nvGraphicFramePr>
        <xdr:cNvPr id="6" name="Chart 5">
          <a:extLst>
            <a:ext uri="{FF2B5EF4-FFF2-40B4-BE49-F238E27FC236}">
              <a16:creationId xmlns:a16="http://schemas.microsoft.com/office/drawing/2014/main" id="{0593E8C2-0093-4F50-A405-F3189D5722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0</xdr:colOff>
      <xdr:row>16</xdr:row>
      <xdr:rowOff>0</xdr:rowOff>
    </xdr:from>
    <xdr:to>
      <xdr:col>23</xdr:col>
      <xdr:colOff>304800</xdr:colOff>
      <xdr:row>30</xdr:row>
      <xdr:rowOff>76200</xdr:rowOff>
    </xdr:to>
    <xdr:graphicFrame macro="">
      <xdr:nvGraphicFramePr>
        <xdr:cNvPr id="7" name="Chart 6">
          <a:extLst>
            <a:ext uri="{FF2B5EF4-FFF2-40B4-BE49-F238E27FC236}">
              <a16:creationId xmlns:a16="http://schemas.microsoft.com/office/drawing/2014/main" id="{EEA87A15-EFCC-471F-A73F-DD8FDCD647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95250</xdr:colOff>
      <xdr:row>31</xdr:row>
      <xdr:rowOff>107156</xdr:rowOff>
    </xdr:from>
    <xdr:to>
      <xdr:col>7</xdr:col>
      <xdr:colOff>416719</xdr:colOff>
      <xdr:row>45</xdr:row>
      <xdr:rowOff>183356</xdr:rowOff>
    </xdr:to>
    <xdr:graphicFrame macro="">
      <xdr:nvGraphicFramePr>
        <xdr:cNvPr id="8" name="Chart 7">
          <a:extLst>
            <a:ext uri="{FF2B5EF4-FFF2-40B4-BE49-F238E27FC236}">
              <a16:creationId xmlns:a16="http://schemas.microsoft.com/office/drawing/2014/main" id="{4789DA62-01D3-4DFA-8EA9-074F245B77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0</xdr:colOff>
      <xdr:row>35</xdr:row>
      <xdr:rowOff>0</xdr:rowOff>
    </xdr:from>
    <xdr:to>
      <xdr:col>15</xdr:col>
      <xdr:colOff>321469</xdr:colOff>
      <xdr:row>49</xdr:row>
      <xdr:rowOff>76200</xdr:rowOff>
    </xdr:to>
    <xdr:graphicFrame macro="">
      <xdr:nvGraphicFramePr>
        <xdr:cNvPr id="9" name="Chart 8">
          <a:extLst>
            <a:ext uri="{FF2B5EF4-FFF2-40B4-BE49-F238E27FC236}">
              <a16:creationId xmlns:a16="http://schemas.microsoft.com/office/drawing/2014/main" id="{B2B5C3CA-5140-4575-89FD-202142CDFE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ydney" refreshedDate="46227.450232291667" createdVersion="8" refreshedVersion="8" minRefreshableVersion="3" recordCount="6" xr:uid="{632FB34E-5CBD-4BFF-ACCB-73E689AB7E19}">
  <cacheSource type="worksheet">
    <worksheetSource ref="A1:O7" sheet="Data"/>
  </cacheSource>
  <cacheFields count="15">
    <cacheField name="Year" numFmtId="0">
      <sharedItems containsSemiMixedTypes="0" containsString="0" containsNumber="1" containsInteger="1" minValue="2020" maxValue="2025" count="6">
        <n v="2020"/>
        <n v="2021"/>
        <n v="2022"/>
        <n v="2023"/>
        <n v="2024"/>
        <n v="2025"/>
      </sharedItems>
    </cacheField>
    <cacheField name="Revenue" numFmtId="164">
      <sharedItems containsSemiMixedTypes="0" containsString="0" containsNumber="1" containsInteger="1" minValue="327413000" maxValue="1638159000"/>
    </cacheField>
    <cacheField name="Revenue Growth %" numFmtId="165">
      <sharedItems containsMixedTypes="1" containsNumber="1" minValue="0.27879767215840562" maxValue="0.52063601628524214"/>
    </cacheField>
    <cacheField name="Net Income" numFmtId="164">
      <sharedItems containsSemiMixedTypes="0" containsString="0" containsNumber="1" containsInteger="1" minValue="-117931000" maxValue="117275000"/>
    </cacheField>
    <cacheField name="Net Income Growth %" numFmtId="165">
      <sharedItems containsString="0" containsBlank="1" containsNumber="1" minValue="-20.466985803895675" maxValue="5.677049839228296"/>
    </cacheField>
    <cacheField name="Operating Income" numFmtId="164">
      <sharedItems containsSemiMixedTypes="0" containsString="0" containsNumber="1" containsInteger="1" minValue="-111226000" maxValue="161180000"/>
    </cacheField>
    <cacheField name="Operating Expenses" numFmtId="164">
      <sharedItems containsSemiMixedTypes="0" containsString="0" containsNumber="1" containsInteger="1" minValue="316413000" maxValue="1476979000"/>
    </cacheField>
    <cacheField name="Operating Margin" numFmtId="165">
      <sharedItems containsSemiMixedTypes="0" containsString="0" containsNumber="1" minValue="-0.22340100747977409" maxValue="9.839093763181718E-2"/>
    </cacheField>
    <cacheField name="Net Profit Margin" numFmtId="165">
      <sharedItems containsSemiMixedTypes="0" containsString="0" containsNumber="1" minValue="-0.23686821618234258" maxValue="7.1589509931575632E-2"/>
    </cacheField>
    <cacheField name="Expense Ratio" numFmtId="165">
      <sharedItems containsSemiMixedTypes="0" containsString="0" containsNumber="1" minValue="0.90160906236818283" maxValue="1.2234010074797741"/>
    </cacheField>
    <cacheField name="Total Stores" numFmtId="1">
      <sharedItems containsSemiMixedTypes="0" containsString="0" containsNumber="1" containsInteger="1" minValue="441" maxValue="1136"/>
    </cacheField>
    <cacheField name="Total Store Growth %" numFmtId="165">
      <sharedItems containsMixedTypes="1" containsNumber="1" minValue="0.15682281059063136" maxValue="0.24721189591078066"/>
    </cacheField>
    <cacheField name="Company Stores" numFmtId="1">
      <sharedItems containsMixedTypes="1" containsNumber="1" containsInteger="1" minValue="271" maxValue="811"/>
    </cacheField>
    <cacheField name="Franchise Stores" numFmtId="1">
      <sharedItems containsMixedTypes="1" containsNumber="1" containsInteger="1" minValue="267" maxValue="325"/>
    </cacheField>
    <cacheField name="Revenue per Store" numFmtId="164">
      <sharedItems containsSemiMixedTypes="0" containsString="0" containsNumber="1" minValue="742433.10657596367" maxValue="1442041.3732394367"/>
    </cacheField>
  </cacheFields>
  <extLst>
    <ext xmlns:x14="http://schemas.microsoft.com/office/spreadsheetml/2009/9/main" uri="{725AE2AE-9491-48be-B2B4-4EB974FC3084}">
      <x14:pivotCacheDefinition pivotCacheId="150400098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ydney" refreshedDate="46227.450232060182" backgroundQuery="1" createdVersion="8" refreshedVersion="8" minRefreshableVersion="3" recordCount="0" supportSubquery="1" supportAdvancedDrill="1" xr:uid="{5FC7076D-0F78-41F2-8D1B-F350B2286BF6}">
  <cacheSource type="external" connectionId="1"/>
  <cacheFields count="4">
    <cacheField name="[Range].[Year].[Year]" caption="Year" numFmtId="0" level="1">
      <sharedItems containsSemiMixedTypes="0" containsString="0" containsNumber="1" containsInteger="1" minValue="2020" maxValue="2025" count="6">
        <n v="2020"/>
        <n v="2021"/>
        <n v="2022"/>
        <n v="2023"/>
        <n v="2024"/>
        <n v="2025"/>
      </sharedItems>
      <extLst>
        <ext xmlns:x15="http://schemas.microsoft.com/office/spreadsheetml/2010/11/main" uri="{4F2E5C28-24EA-4eb8-9CBF-B6C8F9C3D259}">
          <x15:cachedUniqueNames>
            <x15:cachedUniqueName index="0" name="[Range].[Year].&amp;[2020]"/>
            <x15:cachedUniqueName index="1" name="[Range].[Year].&amp;[2021]"/>
            <x15:cachedUniqueName index="2" name="[Range].[Year].&amp;[2022]"/>
            <x15:cachedUniqueName index="3" name="[Range].[Year].&amp;[2023]"/>
            <x15:cachedUniqueName index="4" name="[Range].[Year].&amp;[2024]"/>
            <x15:cachedUniqueName index="5" name="[Range].[Year].&amp;[2025]"/>
          </x15:cachedUniqueNames>
        </ext>
      </extLst>
    </cacheField>
    <cacheField name="[Measures].[Sum of Revenue]" caption="Sum of Revenue" numFmtId="0" hierarchy="17" level="32767"/>
    <cacheField name="[Measures].[Sum of Total Stores]" caption="Sum of Total Stores" numFmtId="0" hierarchy="18" level="32767"/>
    <cacheField name="[Measures].[Sum of Revenue per Store]" caption="Sum of Revenue per Store" numFmtId="0" hierarchy="19" level="32767"/>
  </cacheFields>
  <cacheHierarchies count="25">
    <cacheHierarchy uniqueName="[Range].[Year]" caption="Year" attribute="1" defaultMemberUniqueName="[Range].[Year].[All]" allUniqueName="[Range].[Year].[All]" dimensionUniqueName="[Range]" displayFolder="" count="2" memberValueDatatype="20" unbalanced="0">
      <fieldsUsage count="2">
        <fieldUsage x="-1"/>
        <fieldUsage x="0"/>
      </fieldsUsage>
    </cacheHierarchy>
    <cacheHierarchy uniqueName="[Range].[Revenue]" caption="Revenue" attribute="1" defaultMemberUniqueName="[Range].[Revenue].[All]" allUniqueName="[Range].[Revenue].[All]" dimensionUniqueName="[Range]" displayFolder="" count="0" memberValueDatatype="20" unbalanced="0"/>
    <cacheHierarchy uniqueName="[Range].[Revenue Growth %]" caption="Revenue Growth %" attribute="1" defaultMemberUniqueName="[Range].[Revenue Growth %].[All]" allUniqueName="[Range].[Revenue Growth %].[All]" dimensionUniqueName="[Range]" displayFolder="" count="0" memberValueDatatype="130" unbalanced="0"/>
    <cacheHierarchy uniqueName="[Range].[Net Income]" caption="Net Income" attribute="1" defaultMemberUniqueName="[Range].[Net Income].[All]" allUniqueName="[Range].[Net Income].[All]" dimensionUniqueName="[Range]" displayFolder="" count="0" memberValueDatatype="20" unbalanced="0"/>
    <cacheHierarchy uniqueName="[Range].[Net Income Growth %]" caption="Net Income Growth %" attribute="1" defaultMemberUniqueName="[Range].[Net Income Growth %].[All]" allUniqueName="[Range].[Net Income Growth %].[All]" dimensionUniqueName="[Range]" displayFolder="" count="0" memberValueDatatype="5" unbalanced="0"/>
    <cacheHierarchy uniqueName="[Range].[Operating Income]" caption="Operating Income" attribute="1" defaultMemberUniqueName="[Range].[Operating Income].[All]" allUniqueName="[Range].[Operating Income].[All]" dimensionUniqueName="[Range]" displayFolder="" count="0" memberValueDatatype="20" unbalanced="0"/>
    <cacheHierarchy uniqueName="[Range].[Operating Expenses]" caption="Operating Expenses" attribute="1" defaultMemberUniqueName="[Range].[Operating Expenses].[All]" allUniqueName="[Range].[Operating Expenses].[All]" dimensionUniqueName="[Range]" displayFolder="" count="0" memberValueDatatype="20" unbalanced="0"/>
    <cacheHierarchy uniqueName="[Range].[Operating Margin]" caption="Operating Margin" attribute="1" defaultMemberUniqueName="[Range].[Operating Margin].[All]" allUniqueName="[Range].[Operating Margin].[All]" dimensionUniqueName="[Range]" displayFolder="" count="0" memberValueDatatype="5" unbalanced="0"/>
    <cacheHierarchy uniqueName="[Range].[Net Profit Margin]" caption="Net Profit Margin" attribute="1" defaultMemberUniqueName="[Range].[Net Profit Margin].[All]" allUniqueName="[Range].[Net Profit Margin].[All]" dimensionUniqueName="[Range]" displayFolder="" count="0" memberValueDatatype="5" unbalanced="0"/>
    <cacheHierarchy uniqueName="[Range].[Expense Ratio]" caption="Expense Ratio" attribute="1" defaultMemberUniqueName="[Range].[Expense Ratio].[All]" allUniqueName="[Range].[Expense Ratio].[All]" dimensionUniqueName="[Range]" displayFolder="" count="0" memberValueDatatype="5" unbalanced="0"/>
    <cacheHierarchy uniqueName="[Range].[Total Stores]" caption="Total Stores" attribute="1" defaultMemberUniqueName="[Range].[Total Stores].[All]" allUniqueName="[Range].[Total Stores].[All]" dimensionUniqueName="[Range]" displayFolder="" count="0" memberValueDatatype="20" unbalanced="0"/>
    <cacheHierarchy uniqueName="[Range].[Total Store Growth %]" caption="Total Store Growth %" attribute="1" defaultMemberUniqueName="[Range].[Total Store Growth %].[All]" allUniqueName="[Range].[Total Store Growth %].[All]" dimensionUniqueName="[Range]" displayFolder="" count="0" memberValueDatatype="130" unbalanced="0"/>
    <cacheHierarchy uniqueName="[Range].[Company Stores]" caption="Company Stores" attribute="1" defaultMemberUniqueName="[Range].[Company Stores].[All]" allUniqueName="[Range].[Company Stores].[All]" dimensionUniqueName="[Range]" displayFolder="" count="0" memberValueDatatype="130" unbalanced="0"/>
    <cacheHierarchy uniqueName="[Range].[Franchise Stores]" caption="Franchise Stores" attribute="1" defaultMemberUniqueName="[Range].[Franchise Stores].[All]" allUniqueName="[Range].[Franchise Stores].[All]" dimensionUniqueName="[Range]" displayFolder="" count="0" memberValueDatatype="130" unbalanced="0"/>
    <cacheHierarchy uniqueName="[Range].[Revenue per Store]" caption="Revenue per Store" attribute="1" defaultMemberUniqueName="[Range].[Revenue per Store].[All]" allUniqueName="[Range].[Revenue per Store].[All]" dimensionUniqueName="[Range]" displayFolder="" count="0" memberValueDatatype="5"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Revenue]" caption="Sum of Revenue" measure="1" displayFolder="" measureGroup="Range" count="0" oneField="1" hidden="1">
      <fieldsUsage count="1">
        <fieldUsage x="1"/>
      </fieldsUsage>
      <extLst>
        <ext xmlns:x15="http://schemas.microsoft.com/office/spreadsheetml/2010/11/main" uri="{B97F6D7D-B522-45F9-BDA1-12C45D357490}">
          <x15:cacheHierarchy aggregatedColumn="1"/>
        </ext>
      </extLst>
    </cacheHierarchy>
    <cacheHierarchy uniqueName="[Measures].[Sum of Total Stores]" caption="Sum of Total Stores" measure="1" displayFolder="" measureGroup="Range" count="0" oneField="1" hidden="1">
      <fieldsUsage count="1">
        <fieldUsage x="2"/>
      </fieldsUsage>
      <extLst>
        <ext xmlns:x15="http://schemas.microsoft.com/office/spreadsheetml/2010/11/main" uri="{B97F6D7D-B522-45F9-BDA1-12C45D357490}">
          <x15:cacheHierarchy aggregatedColumn="10"/>
        </ext>
      </extLst>
    </cacheHierarchy>
    <cacheHierarchy uniqueName="[Measures].[Sum of Revenue per Store]" caption="Sum of Revenue per Store" measure="1" displayFolder="" measureGroup="Range" count="0" oneField="1" hidden="1">
      <fieldsUsage count="1">
        <fieldUsage x="3"/>
      </fieldsUsage>
      <extLst>
        <ext xmlns:x15="http://schemas.microsoft.com/office/spreadsheetml/2010/11/main" uri="{B97F6D7D-B522-45F9-BDA1-12C45D357490}">
          <x15:cacheHierarchy aggregatedColumn="14"/>
        </ext>
      </extLst>
    </cacheHierarchy>
    <cacheHierarchy uniqueName="[Measures].[Sum of Operating Expenses]" caption="Sum of Operating Expenses" measure="1" displayFolder="" measureGroup="Range" count="0" hidden="1">
      <extLst>
        <ext xmlns:x15="http://schemas.microsoft.com/office/spreadsheetml/2010/11/main" uri="{B97F6D7D-B522-45F9-BDA1-12C45D357490}">
          <x15:cacheHierarchy aggregatedColumn="6"/>
        </ext>
      </extLst>
    </cacheHierarchy>
    <cacheHierarchy uniqueName="[Measures].[Sum of Expense Ratio]" caption="Sum of Expense Ratio" measure="1" displayFolder="" measureGroup="Range" count="0" hidden="1">
      <extLst>
        <ext xmlns:x15="http://schemas.microsoft.com/office/spreadsheetml/2010/11/main" uri="{B97F6D7D-B522-45F9-BDA1-12C45D357490}">
          <x15:cacheHierarchy aggregatedColumn="9"/>
        </ext>
      </extLst>
    </cacheHierarchy>
    <cacheHierarchy uniqueName="[Measures].[Sum of Net Profit Margin]" caption="Sum of Net Profit Margin" measure="1" displayFolder="" measureGroup="Range" count="0" hidden="1">
      <extLst>
        <ext xmlns:x15="http://schemas.microsoft.com/office/spreadsheetml/2010/11/main" uri="{B97F6D7D-B522-45F9-BDA1-12C45D357490}">
          <x15:cacheHierarchy aggregatedColumn="8"/>
        </ext>
      </extLst>
    </cacheHierarchy>
    <cacheHierarchy uniqueName="[Measures].[Count of Net Income Growth %]" caption="Count of Net Income Growth %" measure="1" displayFolder="" measureGroup="Range" count="0" hidden="1">
      <extLst>
        <ext xmlns:x15="http://schemas.microsoft.com/office/spreadsheetml/2010/11/main" uri="{B97F6D7D-B522-45F9-BDA1-12C45D357490}">
          <x15:cacheHierarchy aggregatedColumn="4"/>
        </ext>
      </extLst>
    </cacheHierarchy>
    <cacheHierarchy uniqueName="[Measures].[Sum of Net Income Growth %]" caption="Sum of Net Income Growth %" measure="1" displayFolder="" measureGroup="Range" count="0" hidden="1">
      <extLst>
        <ext xmlns:x15="http://schemas.microsoft.com/office/spreadsheetml/2010/11/main" uri="{B97F6D7D-B522-45F9-BDA1-12C45D357490}">
          <x15:cacheHierarchy aggregatedColumn="4"/>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ydney" refreshedDate="46227.450231134259" backgroundQuery="1" createdVersion="8" refreshedVersion="8" minRefreshableVersion="3" recordCount="0" supportSubquery="1" supportAdvancedDrill="1" xr:uid="{AE377A83-9357-4538-8099-0F613F7E42BB}">
  <cacheSource type="external" connectionId="1"/>
  <cacheFields count="3">
    <cacheField name="[Range].[Year].[Year]" caption="Year" numFmtId="0" level="1">
      <sharedItems containsSemiMixedTypes="0" containsString="0" containsNumber="1" containsInteger="1" minValue="2020" maxValue="2025" count="6">
        <n v="2020"/>
        <n v="2021"/>
        <n v="2022"/>
        <n v="2023"/>
        <n v="2024"/>
        <n v="2025"/>
      </sharedItems>
      <extLst>
        <ext xmlns:x15="http://schemas.microsoft.com/office/spreadsheetml/2010/11/main" uri="{4F2E5C28-24EA-4eb8-9CBF-B6C8F9C3D259}">
          <x15:cachedUniqueNames>
            <x15:cachedUniqueName index="0" name="[Range].[Year].&amp;[2020]"/>
            <x15:cachedUniqueName index="1" name="[Range].[Year].&amp;[2021]"/>
            <x15:cachedUniqueName index="2" name="[Range].[Year].&amp;[2022]"/>
            <x15:cachedUniqueName index="3" name="[Range].[Year].&amp;[2023]"/>
            <x15:cachedUniqueName index="4" name="[Range].[Year].&amp;[2024]"/>
            <x15:cachedUniqueName index="5" name="[Range].[Year].&amp;[2025]"/>
          </x15:cachedUniqueNames>
        </ext>
      </extLst>
    </cacheField>
    <cacheField name="[Measures].[Sum of Revenue]" caption="Sum of Revenue" numFmtId="0" hierarchy="17" level="32767"/>
    <cacheField name="[Measures].[Sum of Total Stores]" caption="Sum of Total Stores" numFmtId="0" hierarchy="18" level="32767"/>
  </cacheFields>
  <cacheHierarchies count="25">
    <cacheHierarchy uniqueName="[Range].[Year]" caption="Year" attribute="1" defaultMemberUniqueName="[Range].[Year].[All]" allUniqueName="[Range].[Year].[All]" dimensionUniqueName="[Range]" displayFolder="" count="2" memberValueDatatype="20" unbalanced="0">
      <fieldsUsage count="2">
        <fieldUsage x="-1"/>
        <fieldUsage x="0"/>
      </fieldsUsage>
    </cacheHierarchy>
    <cacheHierarchy uniqueName="[Range].[Revenue]" caption="Revenue" attribute="1" defaultMemberUniqueName="[Range].[Revenue].[All]" allUniqueName="[Range].[Revenue].[All]" dimensionUniqueName="[Range]" displayFolder="" count="0" memberValueDatatype="20" unbalanced="0"/>
    <cacheHierarchy uniqueName="[Range].[Revenue Growth %]" caption="Revenue Growth %" attribute="1" defaultMemberUniqueName="[Range].[Revenue Growth %].[All]" allUniqueName="[Range].[Revenue Growth %].[All]" dimensionUniqueName="[Range]" displayFolder="" count="0" memberValueDatatype="130" unbalanced="0"/>
    <cacheHierarchy uniqueName="[Range].[Net Income]" caption="Net Income" attribute="1" defaultMemberUniqueName="[Range].[Net Income].[All]" allUniqueName="[Range].[Net Income].[All]" dimensionUniqueName="[Range]" displayFolder="" count="0" memberValueDatatype="20" unbalanced="0"/>
    <cacheHierarchy uniqueName="[Range].[Net Income Growth %]" caption="Net Income Growth %" attribute="1" defaultMemberUniqueName="[Range].[Net Income Growth %].[All]" allUniqueName="[Range].[Net Income Growth %].[All]" dimensionUniqueName="[Range]" displayFolder="" count="0" memberValueDatatype="5" unbalanced="0"/>
    <cacheHierarchy uniqueName="[Range].[Operating Income]" caption="Operating Income" attribute="1" defaultMemberUniqueName="[Range].[Operating Income].[All]" allUniqueName="[Range].[Operating Income].[All]" dimensionUniqueName="[Range]" displayFolder="" count="0" memberValueDatatype="20" unbalanced="0"/>
    <cacheHierarchy uniqueName="[Range].[Operating Expenses]" caption="Operating Expenses" attribute="1" defaultMemberUniqueName="[Range].[Operating Expenses].[All]" allUniqueName="[Range].[Operating Expenses].[All]" dimensionUniqueName="[Range]" displayFolder="" count="0" memberValueDatatype="20" unbalanced="0"/>
    <cacheHierarchy uniqueName="[Range].[Operating Margin]" caption="Operating Margin" attribute="1" defaultMemberUniqueName="[Range].[Operating Margin].[All]" allUniqueName="[Range].[Operating Margin].[All]" dimensionUniqueName="[Range]" displayFolder="" count="0" memberValueDatatype="5" unbalanced="0"/>
    <cacheHierarchy uniqueName="[Range].[Net Profit Margin]" caption="Net Profit Margin" attribute="1" defaultMemberUniqueName="[Range].[Net Profit Margin].[All]" allUniqueName="[Range].[Net Profit Margin].[All]" dimensionUniqueName="[Range]" displayFolder="" count="0" memberValueDatatype="5" unbalanced="0"/>
    <cacheHierarchy uniqueName="[Range].[Expense Ratio]" caption="Expense Ratio" attribute="1" defaultMemberUniqueName="[Range].[Expense Ratio].[All]" allUniqueName="[Range].[Expense Ratio].[All]" dimensionUniqueName="[Range]" displayFolder="" count="0" memberValueDatatype="5" unbalanced="0"/>
    <cacheHierarchy uniqueName="[Range].[Total Stores]" caption="Total Stores" attribute="1" defaultMemberUniqueName="[Range].[Total Stores].[All]" allUniqueName="[Range].[Total Stores].[All]" dimensionUniqueName="[Range]" displayFolder="" count="0" memberValueDatatype="20" unbalanced="0"/>
    <cacheHierarchy uniqueName="[Range].[Total Store Growth %]" caption="Total Store Growth %" attribute="1" defaultMemberUniqueName="[Range].[Total Store Growth %].[All]" allUniqueName="[Range].[Total Store Growth %].[All]" dimensionUniqueName="[Range]" displayFolder="" count="0" memberValueDatatype="130" unbalanced="0"/>
    <cacheHierarchy uniqueName="[Range].[Company Stores]" caption="Company Stores" attribute="1" defaultMemberUniqueName="[Range].[Company Stores].[All]" allUniqueName="[Range].[Company Stores].[All]" dimensionUniqueName="[Range]" displayFolder="" count="0" memberValueDatatype="130" unbalanced="0"/>
    <cacheHierarchy uniqueName="[Range].[Franchise Stores]" caption="Franchise Stores" attribute="1" defaultMemberUniqueName="[Range].[Franchise Stores].[All]" allUniqueName="[Range].[Franchise Stores].[All]" dimensionUniqueName="[Range]" displayFolder="" count="0" memberValueDatatype="130" unbalanced="0"/>
    <cacheHierarchy uniqueName="[Range].[Revenue per Store]" caption="Revenue per Store" attribute="1" defaultMemberUniqueName="[Range].[Revenue per Store].[All]" allUniqueName="[Range].[Revenue per Store].[All]" dimensionUniqueName="[Range]" displayFolder="" count="0" memberValueDatatype="5"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Revenue]" caption="Sum of Revenue" measure="1" displayFolder="" measureGroup="Range" count="0" oneField="1" hidden="1">
      <fieldsUsage count="1">
        <fieldUsage x="1"/>
      </fieldsUsage>
      <extLst>
        <ext xmlns:x15="http://schemas.microsoft.com/office/spreadsheetml/2010/11/main" uri="{B97F6D7D-B522-45F9-BDA1-12C45D357490}">
          <x15:cacheHierarchy aggregatedColumn="1"/>
        </ext>
      </extLst>
    </cacheHierarchy>
    <cacheHierarchy uniqueName="[Measures].[Sum of Total Stores]" caption="Sum of Total Stores" measure="1" displayFolder="" measureGroup="Range" count="0" oneField="1" hidden="1">
      <fieldsUsage count="1">
        <fieldUsage x="2"/>
      </fieldsUsage>
      <extLst>
        <ext xmlns:x15="http://schemas.microsoft.com/office/spreadsheetml/2010/11/main" uri="{B97F6D7D-B522-45F9-BDA1-12C45D357490}">
          <x15:cacheHierarchy aggregatedColumn="10"/>
        </ext>
      </extLst>
    </cacheHierarchy>
    <cacheHierarchy uniqueName="[Measures].[Sum of Revenue per Store]" caption="Sum of Revenue per Store" measure="1" displayFolder="" measureGroup="Range" count="0" hidden="1">
      <extLst>
        <ext xmlns:x15="http://schemas.microsoft.com/office/spreadsheetml/2010/11/main" uri="{B97F6D7D-B522-45F9-BDA1-12C45D357490}">
          <x15:cacheHierarchy aggregatedColumn="14"/>
        </ext>
      </extLst>
    </cacheHierarchy>
    <cacheHierarchy uniqueName="[Measures].[Sum of Operating Expenses]" caption="Sum of Operating Expenses" measure="1" displayFolder="" measureGroup="Range" count="0" hidden="1">
      <extLst>
        <ext xmlns:x15="http://schemas.microsoft.com/office/spreadsheetml/2010/11/main" uri="{B97F6D7D-B522-45F9-BDA1-12C45D357490}">
          <x15:cacheHierarchy aggregatedColumn="6"/>
        </ext>
      </extLst>
    </cacheHierarchy>
    <cacheHierarchy uniqueName="[Measures].[Sum of Expense Ratio]" caption="Sum of Expense Ratio" measure="1" displayFolder="" measureGroup="Range" count="0" hidden="1">
      <extLst>
        <ext xmlns:x15="http://schemas.microsoft.com/office/spreadsheetml/2010/11/main" uri="{B97F6D7D-B522-45F9-BDA1-12C45D357490}">
          <x15:cacheHierarchy aggregatedColumn="9"/>
        </ext>
      </extLst>
    </cacheHierarchy>
    <cacheHierarchy uniqueName="[Measures].[Sum of Net Profit Margin]" caption="Sum of Net Profit Margin" measure="1" displayFolder="" measureGroup="Range" count="0" hidden="1">
      <extLst>
        <ext xmlns:x15="http://schemas.microsoft.com/office/spreadsheetml/2010/11/main" uri="{B97F6D7D-B522-45F9-BDA1-12C45D357490}">
          <x15:cacheHierarchy aggregatedColumn="8"/>
        </ext>
      </extLst>
    </cacheHierarchy>
    <cacheHierarchy uniqueName="[Measures].[Count of Net Income Growth %]" caption="Count of Net Income Growth %" measure="1" displayFolder="" measureGroup="Range" count="0" hidden="1">
      <extLst>
        <ext xmlns:x15="http://schemas.microsoft.com/office/spreadsheetml/2010/11/main" uri="{B97F6D7D-B522-45F9-BDA1-12C45D357490}">
          <x15:cacheHierarchy aggregatedColumn="4"/>
        </ext>
      </extLst>
    </cacheHierarchy>
    <cacheHierarchy uniqueName="[Measures].[Sum of Net Income Growth %]" caption="Sum of Net Income Growth %" measure="1" displayFolder="" measureGroup="Range" count="0" hidden="1">
      <extLst>
        <ext xmlns:x15="http://schemas.microsoft.com/office/spreadsheetml/2010/11/main" uri="{B97F6D7D-B522-45F9-BDA1-12C45D357490}">
          <x15:cacheHierarchy aggregatedColumn="4"/>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ydney" refreshedDate="46227.450230208335" backgroundQuery="1" createdVersion="8" refreshedVersion="8" minRefreshableVersion="3" recordCount="0" supportSubquery="1" supportAdvancedDrill="1" xr:uid="{E5A4C711-F86F-4F7B-AFFA-04B5EE3EBE69}">
  <cacheSource type="external" connectionId="1"/>
  <cacheFields count="4">
    <cacheField name="[Range].[Year].[Year]" caption="Year" numFmtId="0" level="1">
      <sharedItems containsSemiMixedTypes="0" containsString="0" containsNumber="1" containsInteger="1" minValue="2020" maxValue="2025" count="6">
        <n v="2020"/>
        <n v="2021"/>
        <n v="2022"/>
        <n v="2023"/>
        <n v="2024"/>
        <n v="2025"/>
      </sharedItems>
      <extLst>
        <ext xmlns:x15="http://schemas.microsoft.com/office/spreadsheetml/2010/11/main" uri="{4F2E5C28-24EA-4eb8-9CBF-B6C8F9C3D259}">
          <x15:cachedUniqueNames>
            <x15:cachedUniqueName index="0" name="[Range].[Year].&amp;[2020]"/>
            <x15:cachedUniqueName index="1" name="[Range].[Year].&amp;[2021]"/>
            <x15:cachedUniqueName index="2" name="[Range].[Year].&amp;[2022]"/>
            <x15:cachedUniqueName index="3" name="[Range].[Year].&amp;[2023]"/>
            <x15:cachedUniqueName index="4" name="[Range].[Year].&amp;[2024]"/>
            <x15:cachedUniqueName index="5" name="[Range].[Year].&amp;[2025]"/>
          </x15:cachedUniqueNames>
        </ext>
      </extLst>
    </cacheField>
    <cacheField name="[Measures].[Sum of Operating Expenses]" caption="Sum of Operating Expenses" numFmtId="0" hierarchy="20" level="32767"/>
    <cacheField name="[Measures].[Sum of Revenue]" caption="Sum of Revenue" numFmtId="0" hierarchy="17" level="32767"/>
    <cacheField name="[Measures].[Sum of Expense Ratio]" caption="Sum of Expense Ratio" numFmtId="0" hierarchy="21" level="32767"/>
  </cacheFields>
  <cacheHierarchies count="25">
    <cacheHierarchy uniqueName="[Range].[Year]" caption="Year" attribute="1" defaultMemberUniqueName="[Range].[Year].[All]" allUniqueName="[Range].[Year].[All]" dimensionUniqueName="[Range]" displayFolder="" count="2" memberValueDatatype="20" unbalanced="0">
      <fieldsUsage count="2">
        <fieldUsage x="-1"/>
        <fieldUsage x="0"/>
      </fieldsUsage>
    </cacheHierarchy>
    <cacheHierarchy uniqueName="[Range].[Revenue]" caption="Revenue" attribute="1" defaultMemberUniqueName="[Range].[Revenue].[All]" allUniqueName="[Range].[Revenue].[All]" dimensionUniqueName="[Range]" displayFolder="" count="0" memberValueDatatype="20" unbalanced="0"/>
    <cacheHierarchy uniqueName="[Range].[Revenue Growth %]" caption="Revenue Growth %" attribute="1" defaultMemberUniqueName="[Range].[Revenue Growth %].[All]" allUniqueName="[Range].[Revenue Growth %].[All]" dimensionUniqueName="[Range]" displayFolder="" count="0" memberValueDatatype="130" unbalanced="0"/>
    <cacheHierarchy uniqueName="[Range].[Net Income]" caption="Net Income" attribute="1" defaultMemberUniqueName="[Range].[Net Income].[All]" allUniqueName="[Range].[Net Income].[All]" dimensionUniqueName="[Range]" displayFolder="" count="0" memberValueDatatype="20" unbalanced="0"/>
    <cacheHierarchy uniqueName="[Range].[Net Income Growth %]" caption="Net Income Growth %" attribute="1" defaultMemberUniqueName="[Range].[Net Income Growth %].[All]" allUniqueName="[Range].[Net Income Growth %].[All]" dimensionUniqueName="[Range]" displayFolder="" count="0" memberValueDatatype="5" unbalanced="0"/>
    <cacheHierarchy uniqueName="[Range].[Operating Income]" caption="Operating Income" attribute="1" defaultMemberUniqueName="[Range].[Operating Income].[All]" allUniqueName="[Range].[Operating Income].[All]" dimensionUniqueName="[Range]" displayFolder="" count="0" memberValueDatatype="20" unbalanced="0"/>
    <cacheHierarchy uniqueName="[Range].[Operating Expenses]" caption="Operating Expenses" attribute="1" defaultMemberUniqueName="[Range].[Operating Expenses].[All]" allUniqueName="[Range].[Operating Expenses].[All]" dimensionUniqueName="[Range]" displayFolder="" count="0" memberValueDatatype="20" unbalanced="0"/>
    <cacheHierarchy uniqueName="[Range].[Operating Margin]" caption="Operating Margin" attribute="1" defaultMemberUniqueName="[Range].[Operating Margin].[All]" allUniqueName="[Range].[Operating Margin].[All]" dimensionUniqueName="[Range]" displayFolder="" count="0" memberValueDatatype="5" unbalanced="0"/>
    <cacheHierarchy uniqueName="[Range].[Net Profit Margin]" caption="Net Profit Margin" attribute="1" defaultMemberUniqueName="[Range].[Net Profit Margin].[All]" allUniqueName="[Range].[Net Profit Margin].[All]" dimensionUniqueName="[Range]" displayFolder="" count="0" memberValueDatatype="5" unbalanced="0"/>
    <cacheHierarchy uniqueName="[Range].[Expense Ratio]" caption="Expense Ratio" attribute="1" defaultMemberUniqueName="[Range].[Expense Ratio].[All]" allUniqueName="[Range].[Expense Ratio].[All]" dimensionUniqueName="[Range]" displayFolder="" count="0" memberValueDatatype="5" unbalanced="0"/>
    <cacheHierarchy uniqueName="[Range].[Total Stores]" caption="Total Stores" attribute="1" defaultMemberUniqueName="[Range].[Total Stores].[All]" allUniqueName="[Range].[Total Stores].[All]" dimensionUniqueName="[Range]" displayFolder="" count="0" memberValueDatatype="20" unbalanced="0"/>
    <cacheHierarchy uniqueName="[Range].[Total Store Growth %]" caption="Total Store Growth %" attribute="1" defaultMemberUniqueName="[Range].[Total Store Growth %].[All]" allUniqueName="[Range].[Total Store Growth %].[All]" dimensionUniqueName="[Range]" displayFolder="" count="0" memberValueDatatype="130" unbalanced="0"/>
    <cacheHierarchy uniqueName="[Range].[Company Stores]" caption="Company Stores" attribute="1" defaultMemberUniqueName="[Range].[Company Stores].[All]" allUniqueName="[Range].[Company Stores].[All]" dimensionUniqueName="[Range]" displayFolder="" count="0" memberValueDatatype="130" unbalanced="0"/>
    <cacheHierarchy uniqueName="[Range].[Franchise Stores]" caption="Franchise Stores" attribute="1" defaultMemberUniqueName="[Range].[Franchise Stores].[All]" allUniqueName="[Range].[Franchise Stores].[All]" dimensionUniqueName="[Range]" displayFolder="" count="0" memberValueDatatype="130" unbalanced="0"/>
    <cacheHierarchy uniqueName="[Range].[Revenue per Store]" caption="Revenue per Store" attribute="1" defaultMemberUniqueName="[Range].[Revenue per Store].[All]" allUniqueName="[Range].[Revenue per Store].[All]" dimensionUniqueName="[Range]" displayFolder="" count="0" memberValueDatatype="5"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Revenue]" caption="Sum of Revenue" measure="1" displayFolder="" measureGroup="Range" count="0" oneField="1" hidden="1">
      <fieldsUsage count="1">
        <fieldUsage x="2"/>
      </fieldsUsage>
      <extLst>
        <ext xmlns:x15="http://schemas.microsoft.com/office/spreadsheetml/2010/11/main" uri="{B97F6D7D-B522-45F9-BDA1-12C45D357490}">
          <x15:cacheHierarchy aggregatedColumn="1"/>
        </ext>
      </extLst>
    </cacheHierarchy>
    <cacheHierarchy uniqueName="[Measures].[Sum of Total Stores]" caption="Sum of Total Stores" measure="1" displayFolder="" measureGroup="Range" count="0" hidden="1">
      <extLst>
        <ext xmlns:x15="http://schemas.microsoft.com/office/spreadsheetml/2010/11/main" uri="{B97F6D7D-B522-45F9-BDA1-12C45D357490}">
          <x15:cacheHierarchy aggregatedColumn="10"/>
        </ext>
      </extLst>
    </cacheHierarchy>
    <cacheHierarchy uniqueName="[Measures].[Sum of Revenue per Store]" caption="Sum of Revenue per Store" measure="1" displayFolder="" measureGroup="Range" count="0" hidden="1">
      <extLst>
        <ext xmlns:x15="http://schemas.microsoft.com/office/spreadsheetml/2010/11/main" uri="{B97F6D7D-B522-45F9-BDA1-12C45D357490}">
          <x15:cacheHierarchy aggregatedColumn="14"/>
        </ext>
      </extLst>
    </cacheHierarchy>
    <cacheHierarchy uniqueName="[Measures].[Sum of Operating Expenses]" caption="Sum of Operating Expenses" measure="1" displayFolder="" measureGroup="Range" count="0" oneField="1" hidden="1">
      <fieldsUsage count="1">
        <fieldUsage x="1"/>
      </fieldsUsage>
      <extLst>
        <ext xmlns:x15="http://schemas.microsoft.com/office/spreadsheetml/2010/11/main" uri="{B97F6D7D-B522-45F9-BDA1-12C45D357490}">
          <x15:cacheHierarchy aggregatedColumn="6"/>
        </ext>
      </extLst>
    </cacheHierarchy>
    <cacheHierarchy uniqueName="[Measures].[Sum of Expense Ratio]" caption="Sum of Expense Ratio" measure="1" displayFolder="" measureGroup="Range" count="0" oneField="1" hidden="1">
      <fieldsUsage count="1">
        <fieldUsage x="3"/>
      </fieldsUsage>
      <extLst>
        <ext xmlns:x15="http://schemas.microsoft.com/office/spreadsheetml/2010/11/main" uri="{B97F6D7D-B522-45F9-BDA1-12C45D357490}">
          <x15:cacheHierarchy aggregatedColumn="9"/>
        </ext>
      </extLst>
    </cacheHierarchy>
    <cacheHierarchy uniqueName="[Measures].[Sum of Net Profit Margin]" caption="Sum of Net Profit Margin" measure="1" displayFolder="" measureGroup="Range" count="0" hidden="1">
      <extLst>
        <ext xmlns:x15="http://schemas.microsoft.com/office/spreadsheetml/2010/11/main" uri="{B97F6D7D-B522-45F9-BDA1-12C45D357490}">
          <x15:cacheHierarchy aggregatedColumn="8"/>
        </ext>
      </extLst>
    </cacheHierarchy>
    <cacheHierarchy uniqueName="[Measures].[Count of Net Income Growth %]" caption="Count of Net Income Growth %" measure="1" displayFolder="" measureGroup="Range" count="0" hidden="1">
      <extLst>
        <ext xmlns:x15="http://schemas.microsoft.com/office/spreadsheetml/2010/11/main" uri="{B97F6D7D-B522-45F9-BDA1-12C45D357490}">
          <x15:cacheHierarchy aggregatedColumn="4"/>
        </ext>
      </extLst>
    </cacheHierarchy>
    <cacheHierarchy uniqueName="[Measures].[Sum of Net Income Growth %]" caption="Sum of Net Income Growth %" measure="1" displayFolder="" measureGroup="Range" count="0" hidden="1">
      <extLst>
        <ext xmlns:x15="http://schemas.microsoft.com/office/spreadsheetml/2010/11/main" uri="{B97F6D7D-B522-45F9-BDA1-12C45D357490}">
          <x15:cacheHierarchy aggregatedColumn="4"/>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ydney" refreshedDate="46227.450229282411" backgroundQuery="1" createdVersion="8" refreshedVersion="8" minRefreshableVersion="3" recordCount="0" supportSubquery="1" supportAdvancedDrill="1" xr:uid="{540A1A9C-11A2-462B-9E6A-60B79D3536F6}">
  <cacheSource type="external" connectionId="1"/>
  <cacheFields count="4">
    <cacheField name="[Range].[Year].[Year]" caption="Year" numFmtId="0" level="1">
      <sharedItems containsSemiMixedTypes="0" containsString="0" containsNumber="1" containsInteger="1" minValue="2020" maxValue="2025" count="6">
        <n v="2020"/>
        <n v="2021"/>
        <n v="2022"/>
        <n v="2023"/>
        <n v="2024"/>
        <n v="2025"/>
      </sharedItems>
      <extLst>
        <ext xmlns:x15="http://schemas.microsoft.com/office/spreadsheetml/2010/11/main" uri="{4F2E5C28-24EA-4eb8-9CBF-B6C8F9C3D259}">
          <x15:cachedUniqueNames>
            <x15:cachedUniqueName index="0" name="[Range].[Year].&amp;[2020]"/>
            <x15:cachedUniqueName index="1" name="[Range].[Year].&amp;[2021]"/>
            <x15:cachedUniqueName index="2" name="[Range].[Year].&amp;[2022]"/>
            <x15:cachedUniqueName index="3" name="[Range].[Year].&amp;[2023]"/>
            <x15:cachedUniqueName index="4" name="[Range].[Year].&amp;[2024]"/>
            <x15:cachedUniqueName index="5" name="[Range].[Year].&amp;[2025]"/>
          </x15:cachedUniqueNames>
        </ext>
      </extLst>
    </cacheField>
    <cacheField name="[Measures].[Sum of Operating Expenses]" caption="Sum of Operating Expenses" numFmtId="0" hierarchy="20" level="32767"/>
    <cacheField name="[Measures].[Sum of Revenue]" caption="Sum of Revenue" numFmtId="0" hierarchy="17" level="32767"/>
    <cacheField name="[Measures].[Sum of Expense Ratio]" caption="Sum of Expense Ratio" numFmtId="0" hierarchy="21" level="32767"/>
  </cacheFields>
  <cacheHierarchies count="25">
    <cacheHierarchy uniqueName="[Range].[Year]" caption="Year" attribute="1" defaultMemberUniqueName="[Range].[Year].[All]" allUniqueName="[Range].[Year].[All]" dimensionUniqueName="[Range]" displayFolder="" count="2" memberValueDatatype="20" unbalanced="0">
      <fieldsUsage count="2">
        <fieldUsage x="-1"/>
        <fieldUsage x="0"/>
      </fieldsUsage>
    </cacheHierarchy>
    <cacheHierarchy uniqueName="[Range].[Revenue]" caption="Revenue" attribute="1" defaultMemberUniqueName="[Range].[Revenue].[All]" allUniqueName="[Range].[Revenue].[All]" dimensionUniqueName="[Range]" displayFolder="" count="0" memberValueDatatype="20" unbalanced="0"/>
    <cacheHierarchy uniqueName="[Range].[Revenue Growth %]" caption="Revenue Growth %" attribute="1" defaultMemberUniqueName="[Range].[Revenue Growth %].[All]" allUniqueName="[Range].[Revenue Growth %].[All]" dimensionUniqueName="[Range]" displayFolder="" count="0" memberValueDatatype="130" unbalanced="0"/>
    <cacheHierarchy uniqueName="[Range].[Net Income]" caption="Net Income" attribute="1" defaultMemberUniqueName="[Range].[Net Income].[All]" allUniqueName="[Range].[Net Income].[All]" dimensionUniqueName="[Range]" displayFolder="" count="0" memberValueDatatype="20" unbalanced="0"/>
    <cacheHierarchy uniqueName="[Range].[Net Income Growth %]" caption="Net Income Growth %" attribute="1" defaultMemberUniqueName="[Range].[Net Income Growth %].[All]" allUniqueName="[Range].[Net Income Growth %].[All]" dimensionUniqueName="[Range]" displayFolder="" count="0" memberValueDatatype="5" unbalanced="0"/>
    <cacheHierarchy uniqueName="[Range].[Operating Income]" caption="Operating Income" attribute="1" defaultMemberUniqueName="[Range].[Operating Income].[All]" allUniqueName="[Range].[Operating Income].[All]" dimensionUniqueName="[Range]" displayFolder="" count="0" memberValueDatatype="20" unbalanced="0"/>
    <cacheHierarchy uniqueName="[Range].[Operating Expenses]" caption="Operating Expenses" attribute="1" defaultMemberUniqueName="[Range].[Operating Expenses].[All]" allUniqueName="[Range].[Operating Expenses].[All]" dimensionUniqueName="[Range]" displayFolder="" count="0" memberValueDatatype="20" unbalanced="0"/>
    <cacheHierarchy uniqueName="[Range].[Operating Margin]" caption="Operating Margin" attribute="1" defaultMemberUniqueName="[Range].[Operating Margin].[All]" allUniqueName="[Range].[Operating Margin].[All]" dimensionUniqueName="[Range]" displayFolder="" count="0" memberValueDatatype="5" unbalanced="0"/>
    <cacheHierarchy uniqueName="[Range].[Net Profit Margin]" caption="Net Profit Margin" attribute="1" defaultMemberUniqueName="[Range].[Net Profit Margin].[All]" allUniqueName="[Range].[Net Profit Margin].[All]" dimensionUniqueName="[Range]" displayFolder="" count="0" memberValueDatatype="5" unbalanced="0"/>
    <cacheHierarchy uniqueName="[Range].[Expense Ratio]" caption="Expense Ratio" attribute="1" defaultMemberUniqueName="[Range].[Expense Ratio].[All]" allUniqueName="[Range].[Expense Ratio].[All]" dimensionUniqueName="[Range]" displayFolder="" count="0" memberValueDatatype="5" unbalanced="0"/>
    <cacheHierarchy uniqueName="[Range].[Total Stores]" caption="Total Stores" attribute="1" defaultMemberUniqueName="[Range].[Total Stores].[All]" allUniqueName="[Range].[Total Stores].[All]" dimensionUniqueName="[Range]" displayFolder="" count="0" memberValueDatatype="20" unbalanced="0"/>
    <cacheHierarchy uniqueName="[Range].[Total Store Growth %]" caption="Total Store Growth %" attribute="1" defaultMemberUniqueName="[Range].[Total Store Growth %].[All]" allUniqueName="[Range].[Total Store Growth %].[All]" dimensionUniqueName="[Range]" displayFolder="" count="0" memberValueDatatype="130" unbalanced="0"/>
    <cacheHierarchy uniqueName="[Range].[Company Stores]" caption="Company Stores" attribute="1" defaultMemberUniqueName="[Range].[Company Stores].[All]" allUniqueName="[Range].[Company Stores].[All]" dimensionUniqueName="[Range]" displayFolder="" count="0" memberValueDatatype="130" unbalanced="0"/>
    <cacheHierarchy uniqueName="[Range].[Franchise Stores]" caption="Franchise Stores" attribute="1" defaultMemberUniqueName="[Range].[Franchise Stores].[All]" allUniqueName="[Range].[Franchise Stores].[All]" dimensionUniqueName="[Range]" displayFolder="" count="0" memberValueDatatype="130" unbalanced="0"/>
    <cacheHierarchy uniqueName="[Range].[Revenue per Store]" caption="Revenue per Store" attribute="1" defaultMemberUniqueName="[Range].[Revenue per Store].[All]" allUniqueName="[Range].[Revenue per Store].[All]" dimensionUniqueName="[Range]" displayFolder="" count="0" memberValueDatatype="5"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Revenue]" caption="Sum of Revenue" measure="1" displayFolder="" measureGroup="Range" count="0" oneField="1" hidden="1">
      <fieldsUsage count="1">
        <fieldUsage x="2"/>
      </fieldsUsage>
      <extLst>
        <ext xmlns:x15="http://schemas.microsoft.com/office/spreadsheetml/2010/11/main" uri="{B97F6D7D-B522-45F9-BDA1-12C45D357490}">
          <x15:cacheHierarchy aggregatedColumn="1"/>
        </ext>
      </extLst>
    </cacheHierarchy>
    <cacheHierarchy uniqueName="[Measures].[Sum of Total Stores]" caption="Sum of Total Stores" measure="1" displayFolder="" measureGroup="Range" count="0" hidden="1">
      <extLst>
        <ext xmlns:x15="http://schemas.microsoft.com/office/spreadsheetml/2010/11/main" uri="{B97F6D7D-B522-45F9-BDA1-12C45D357490}">
          <x15:cacheHierarchy aggregatedColumn="10"/>
        </ext>
      </extLst>
    </cacheHierarchy>
    <cacheHierarchy uniqueName="[Measures].[Sum of Revenue per Store]" caption="Sum of Revenue per Store" measure="1" displayFolder="" measureGroup="Range" count="0" hidden="1">
      <extLst>
        <ext xmlns:x15="http://schemas.microsoft.com/office/spreadsheetml/2010/11/main" uri="{B97F6D7D-B522-45F9-BDA1-12C45D357490}">
          <x15:cacheHierarchy aggregatedColumn="14"/>
        </ext>
      </extLst>
    </cacheHierarchy>
    <cacheHierarchy uniqueName="[Measures].[Sum of Operating Expenses]" caption="Sum of Operating Expenses" measure="1" displayFolder="" measureGroup="Range" count="0" oneField="1" hidden="1">
      <fieldsUsage count="1">
        <fieldUsage x="1"/>
      </fieldsUsage>
      <extLst>
        <ext xmlns:x15="http://schemas.microsoft.com/office/spreadsheetml/2010/11/main" uri="{B97F6D7D-B522-45F9-BDA1-12C45D357490}">
          <x15:cacheHierarchy aggregatedColumn="6"/>
        </ext>
      </extLst>
    </cacheHierarchy>
    <cacheHierarchy uniqueName="[Measures].[Sum of Expense Ratio]" caption="Sum of Expense Ratio" measure="1" displayFolder="" measureGroup="Range" count="0" oneField="1" hidden="1">
      <fieldsUsage count="1">
        <fieldUsage x="3"/>
      </fieldsUsage>
      <extLst>
        <ext xmlns:x15="http://schemas.microsoft.com/office/spreadsheetml/2010/11/main" uri="{B97F6D7D-B522-45F9-BDA1-12C45D357490}">
          <x15:cacheHierarchy aggregatedColumn="9"/>
        </ext>
      </extLst>
    </cacheHierarchy>
    <cacheHierarchy uniqueName="[Measures].[Sum of Net Profit Margin]" caption="Sum of Net Profit Margin" measure="1" displayFolder="" measureGroup="Range" count="0" hidden="1">
      <extLst>
        <ext xmlns:x15="http://schemas.microsoft.com/office/spreadsheetml/2010/11/main" uri="{B97F6D7D-B522-45F9-BDA1-12C45D357490}">
          <x15:cacheHierarchy aggregatedColumn="8"/>
        </ext>
      </extLst>
    </cacheHierarchy>
    <cacheHierarchy uniqueName="[Measures].[Count of Net Income Growth %]" caption="Count of Net Income Growth %" measure="1" displayFolder="" measureGroup="Range" count="0" hidden="1">
      <extLst>
        <ext xmlns:x15="http://schemas.microsoft.com/office/spreadsheetml/2010/11/main" uri="{B97F6D7D-B522-45F9-BDA1-12C45D357490}">
          <x15:cacheHierarchy aggregatedColumn="4"/>
        </ext>
      </extLst>
    </cacheHierarchy>
    <cacheHierarchy uniqueName="[Measures].[Sum of Net Income Growth %]" caption="Sum of Net Income Growth %" measure="1" displayFolder="" measureGroup="Range" count="0" hidden="1">
      <extLst>
        <ext xmlns:x15="http://schemas.microsoft.com/office/spreadsheetml/2010/11/main" uri="{B97F6D7D-B522-45F9-BDA1-12C45D357490}">
          <x15:cacheHierarchy aggregatedColumn="4"/>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ydney" refreshedDate="46227.45022835648" backgroundQuery="1" createdVersion="8" refreshedVersion="8" minRefreshableVersion="3" recordCount="0" supportSubquery="1" supportAdvancedDrill="1" xr:uid="{EF11376D-9A4A-4CB0-8BC1-D6EFB27CE072}">
  <cacheSource type="external" connectionId="1"/>
  <cacheFields count="4">
    <cacheField name="[Range].[Year].[Year]" caption="Year" numFmtId="0" level="1">
      <sharedItems containsSemiMixedTypes="0" containsString="0" containsNumber="1" containsInteger="1" minValue="2020" maxValue="2025" count="6">
        <n v="2020"/>
        <n v="2021"/>
        <n v="2022"/>
        <n v="2023"/>
        <n v="2024"/>
        <n v="2025"/>
      </sharedItems>
      <extLst>
        <ext xmlns:x15="http://schemas.microsoft.com/office/spreadsheetml/2010/11/main" uri="{4F2E5C28-24EA-4eb8-9CBF-B6C8F9C3D259}">
          <x15:cachedUniqueNames>
            <x15:cachedUniqueName index="0" name="[Range].[Year].&amp;[2020]"/>
            <x15:cachedUniqueName index="1" name="[Range].[Year].&amp;[2021]"/>
            <x15:cachedUniqueName index="2" name="[Range].[Year].&amp;[2022]"/>
            <x15:cachedUniqueName index="3" name="[Range].[Year].&amp;[2023]"/>
            <x15:cachedUniqueName index="4" name="[Range].[Year].&amp;[2024]"/>
            <x15:cachedUniqueName index="5" name="[Range].[Year].&amp;[2025]"/>
          </x15:cachedUniqueNames>
        </ext>
      </extLst>
    </cacheField>
    <cacheField name="[Measures].[Sum of Revenue]" caption="Sum of Revenue" numFmtId="0" hierarchy="17" level="32767"/>
    <cacheField name="[Measures].[Sum of Total Stores]" caption="Sum of Total Stores" numFmtId="0" hierarchy="18" level="32767"/>
    <cacheField name="[Measures].[Sum of Revenue per Store]" caption="Sum of Revenue per Store" numFmtId="0" hierarchy="19" level="32767"/>
  </cacheFields>
  <cacheHierarchies count="25">
    <cacheHierarchy uniqueName="[Range].[Year]" caption="Year" attribute="1" defaultMemberUniqueName="[Range].[Year].[All]" allUniqueName="[Range].[Year].[All]" dimensionUniqueName="[Range]" displayFolder="" count="2" memberValueDatatype="20" unbalanced="0">
      <fieldsUsage count="2">
        <fieldUsage x="-1"/>
        <fieldUsage x="0"/>
      </fieldsUsage>
    </cacheHierarchy>
    <cacheHierarchy uniqueName="[Range].[Revenue]" caption="Revenue" attribute="1" defaultMemberUniqueName="[Range].[Revenue].[All]" allUniqueName="[Range].[Revenue].[All]" dimensionUniqueName="[Range]" displayFolder="" count="0" memberValueDatatype="20" unbalanced="0"/>
    <cacheHierarchy uniqueName="[Range].[Revenue Growth %]" caption="Revenue Growth %" attribute="1" defaultMemberUniqueName="[Range].[Revenue Growth %].[All]" allUniqueName="[Range].[Revenue Growth %].[All]" dimensionUniqueName="[Range]" displayFolder="" count="0" memberValueDatatype="130" unbalanced="0"/>
    <cacheHierarchy uniqueName="[Range].[Net Income]" caption="Net Income" attribute="1" defaultMemberUniqueName="[Range].[Net Income].[All]" allUniqueName="[Range].[Net Income].[All]" dimensionUniqueName="[Range]" displayFolder="" count="0" memberValueDatatype="20" unbalanced="0"/>
    <cacheHierarchy uniqueName="[Range].[Net Income Growth %]" caption="Net Income Growth %" attribute="1" defaultMemberUniqueName="[Range].[Net Income Growth %].[All]" allUniqueName="[Range].[Net Income Growth %].[All]" dimensionUniqueName="[Range]" displayFolder="" count="0" memberValueDatatype="5" unbalanced="0"/>
    <cacheHierarchy uniqueName="[Range].[Operating Income]" caption="Operating Income" attribute="1" defaultMemberUniqueName="[Range].[Operating Income].[All]" allUniqueName="[Range].[Operating Income].[All]" dimensionUniqueName="[Range]" displayFolder="" count="0" memberValueDatatype="20" unbalanced="0"/>
    <cacheHierarchy uniqueName="[Range].[Operating Expenses]" caption="Operating Expenses" attribute="1" defaultMemberUniqueName="[Range].[Operating Expenses].[All]" allUniqueName="[Range].[Operating Expenses].[All]" dimensionUniqueName="[Range]" displayFolder="" count="0" memberValueDatatype="20" unbalanced="0"/>
    <cacheHierarchy uniqueName="[Range].[Operating Margin]" caption="Operating Margin" attribute="1" defaultMemberUniqueName="[Range].[Operating Margin].[All]" allUniqueName="[Range].[Operating Margin].[All]" dimensionUniqueName="[Range]" displayFolder="" count="0" memberValueDatatype="5" unbalanced="0"/>
    <cacheHierarchy uniqueName="[Range].[Net Profit Margin]" caption="Net Profit Margin" attribute="1" defaultMemberUniqueName="[Range].[Net Profit Margin].[All]" allUniqueName="[Range].[Net Profit Margin].[All]" dimensionUniqueName="[Range]" displayFolder="" count="0" memberValueDatatype="5" unbalanced="0"/>
    <cacheHierarchy uniqueName="[Range].[Expense Ratio]" caption="Expense Ratio" attribute="1" defaultMemberUniqueName="[Range].[Expense Ratio].[All]" allUniqueName="[Range].[Expense Ratio].[All]" dimensionUniqueName="[Range]" displayFolder="" count="0" memberValueDatatype="5" unbalanced="0"/>
    <cacheHierarchy uniqueName="[Range].[Total Stores]" caption="Total Stores" attribute="1" defaultMemberUniqueName="[Range].[Total Stores].[All]" allUniqueName="[Range].[Total Stores].[All]" dimensionUniqueName="[Range]" displayFolder="" count="0" memberValueDatatype="20" unbalanced="0"/>
    <cacheHierarchy uniqueName="[Range].[Total Store Growth %]" caption="Total Store Growth %" attribute="1" defaultMemberUniqueName="[Range].[Total Store Growth %].[All]" allUniqueName="[Range].[Total Store Growth %].[All]" dimensionUniqueName="[Range]" displayFolder="" count="0" memberValueDatatype="130" unbalanced="0"/>
    <cacheHierarchy uniqueName="[Range].[Company Stores]" caption="Company Stores" attribute="1" defaultMemberUniqueName="[Range].[Company Stores].[All]" allUniqueName="[Range].[Company Stores].[All]" dimensionUniqueName="[Range]" displayFolder="" count="0" memberValueDatatype="130" unbalanced="0"/>
    <cacheHierarchy uniqueName="[Range].[Franchise Stores]" caption="Franchise Stores" attribute="1" defaultMemberUniqueName="[Range].[Franchise Stores].[All]" allUniqueName="[Range].[Franchise Stores].[All]" dimensionUniqueName="[Range]" displayFolder="" count="0" memberValueDatatype="130" unbalanced="0"/>
    <cacheHierarchy uniqueName="[Range].[Revenue per Store]" caption="Revenue per Store" attribute="1" defaultMemberUniqueName="[Range].[Revenue per Store].[All]" allUniqueName="[Range].[Revenue per Store].[All]" dimensionUniqueName="[Range]" displayFolder="" count="0" memberValueDatatype="5"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Revenue]" caption="Sum of Revenue" measure="1" displayFolder="" measureGroup="Range" count="0" oneField="1" hidden="1">
      <fieldsUsage count="1">
        <fieldUsage x="1"/>
      </fieldsUsage>
      <extLst>
        <ext xmlns:x15="http://schemas.microsoft.com/office/spreadsheetml/2010/11/main" uri="{B97F6D7D-B522-45F9-BDA1-12C45D357490}">
          <x15:cacheHierarchy aggregatedColumn="1"/>
        </ext>
      </extLst>
    </cacheHierarchy>
    <cacheHierarchy uniqueName="[Measures].[Sum of Total Stores]" caption="Sum of Total Stores" measure="1" displayFolder="" measureGroup="Range" count="0" oneField="1" hidden="1">
      <fieldsUsage count="1">
        <fieldUsage x="2"/>
      </fieldsUsage>
      <extLst>
        <ext xmlns:x15="http://schemas.microsoft.com/office/spreadsheetml/2010/11/main" uri="{B97F6D7D-B522-45F9-BDA1-12C45D357490}">
          <x15:cacheHierarchy aggregatedColumn="10"/>
        </ext>
      </extLst>
    </cacheHierarchy>
    <cacheHierarchy uniqueName="[Measures].[Sum of Revenue per Store]" caption="Sum of Revenue per Store" measure="1" displayFolder="" measureGroup="Range" count="0" oneField="1" hidden="1">
      <fieldsUsage count="1">
        <fieldUsage x="3"/>
      </fieldsUsage>
      <extLst>
        <ext xmlns:x15="http://schemas.microsoft.com/office/spreadsheetml/2010/11/main" uri="{B97F6D7D-B522-45F9-BDA1-12C45D357490}">
          <x15:cacheHierarchy aggregatedColumn="14"/>
        </ext>
      </extLst>
    </cacheHierarchy>
    <cacheHierarchy uniqueName="[Measures].[Sum of Operating Expenses]" caption="Sum of Operating Expenses" measure="1" displayFolder="" measureGroup="Range" count="0" hidden="1">
      <extLst>
        <ext xmlns:x15="http://schemas.microsoft.com/office/spreadsheetml/2010/11/main" uri="{B97F6D7D-B522-45F9-BDA1-12C45D357490}">
          <x15:cacheHierarchy aggregatedColumn="6"/>
        </ext>
      </extLst>
    </cacheHierarchy>
    <cacheHierarchy uniqueName="[Measures].[Sum of Expense Ratio]" caption="Sum of Expense Ratio" measure="1" displayFolder="" measureGroup="Range" count="0" hidden="1">
      <extLst>
        <ext xmlns:x15="http://schemas.microsoft.com/office/spreadsheetml/2010/11/main" uri="{B97F6D7D-B522-45F9-BDA1-12C45D357490}">
          <x15:cacheHierarchy aggregatedColumn="9"/>
        </ext>
      </extLst>
    </cacheHierarchy>
    <cacheHierarchy uniqueName="[Measures].[Sum of Net Profit Margin]" caption="Sum of Net Profit Margin" measure="1" displayFolder="" measureGroup="Range" count="0" hidden="1">
      <extLst>
        <ext xmlns:x15="http://schemas.microsoft.com/office/spreadsheetml/2010/11/main" uri="{B97F6D7D-B522-45F9-BDA1-12C45D357490}">
          <x15:cacheHierarchy aggregatedColumn="8"/>
        </ext>
      </extLst>
    </cacheHierarchy>
    <cacheHierarchy uniqueName="[Measures].[Count of Net Income Growth %]" caption="Count of Net Income Growth %" measure="1" displayFolder="" measureGroup="Range" count="0" hidden="1">
      <extLst>
        <ext xmlns:x15="http://schemas.microsoft.com/office/spreadsheetml/2010/11/main" uri="{B97F6D7D-B522-45F9-BDA1-12C45D357490}">
          <x15:cacheHierarchy aggregatedColumn="4"/>
        </ext>
      </extLst>
    </cacheHierarchy>
    <cacheHierarchy uniqueName="[Measures].[Sum of Net Income Growth %]" caption="Sum of Net Income Growth %" measure="1" displayFolder="" measureGroup="Range" count="0" hidden="1">
      <extLst>
        <ext xmlns:x15="http://schemas.microsoft.com/office/spreadsheetml/2010/11/main" uri="{B97F6D7D-B522-45F9-BDA1-12C45D357490}">
          <x15:cacheHierarchy aggregatedColumn="4"/>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ydney" refreshedDate="46227.450361342591" backgroundQuery="1" createdVersion="8" refreshedVersion="8" minRefreshableVersion="3" recordCount="0" supportSubquery="1" supportAdvancedDrill="1" xr:uid="{5A8400EE-AED1-44BE-BD8A-BF776C6C225E}">
  <cacheSource type="external" connectionId="1"/>
  <cacheFields count="4">
    <cacheField name="[Range].[Year].[Year]" caption="Year" numFmtId="0" level="1">
      <sharedItems containsSemiMixedTypes="0" containsString="0" containsNumber="1" containsInteger="1" minValue="2020" maxValue="2025" count="6">
        <n v="2020"/>
        <n v="2021"/>
        <n v="2022"/>
        <n v="2023"/>
        <n v="2024"/>
        <n v="2025"/>
      </sharedItems>
      <extLst>
        <ext xmlns:x15="http://schemas.microsoft.com/office/spreadsheetml/2010/11/main" uri="{4F2E5C28-24EA-4eb8-9CBF-B6C8F9C3D259}">
          <x15:cachedUniqueNames>
            <x15:cachedUniqueName index="0" name="[Range].[Year].&amp;[2020]"/>
            <x15:cachedUniqueName index="1" name="[Range].[Year].&amp;[2021]"/>
            <x15:cachedUniqueName index="2" name="[Range].[Year].&amp;[2022]"/>
            <x15:cachedUniqueName index="3" name="[Range].[Year].&amp;[2023]"/>
            <x15:cachedUniqueName index="4" name="[Range].[Year].&amp;[2024]"/>
            <x15:cachedUniqueName index="5" name="[Range].[Year].&amp;[2025]"/>
          </x15:cachedUniqueNames>
        </ext>
      </extLst>
    </cacheField>
    <cacheField name="[Measures].[Sum of Revenue]" caption="Sum of Revenue" numFmtId="0" hierarchy="17" level="32767"/>
    <cacheField name="[Measures].[Sum of Total Stores]" caption="Sum of Total Stores" numFmtId="0" hierarchy="18" level="32767"/>
    <cacheField name="[Measures].[Sum of Net Income Growth %]" caption="Sum of Net Income Growth %" numFmtId="0" hierarchy="24" level="32767"/>
  </cacheFields>
  <cacheHierarchies count="25">
    <cacheHierarchy uniqueName="[Range].[Year]" caption="Year" attribute="1" defaultMemberUniqueName="[Range].[Year].[All]" allUniqueName="[Range].[Year].[All]" dimensionUniqueName="[Range]" displayFolder="" count="2" memberValueDatatype="20" unbalanced="0">
      <fieldsUsage count="2">
        <fieldUsage x="-1"/>
        <fieldUsage x="0"/>
      </fieldsUsage>
    </cacheHierarchy>
    <cacheHierarchy uniqueName="[Range].[Revenue]" caption="Revenue" attribute="1" defaultMemberUniqueName="[Range].[Revenue].[All]" allUniqueName="[Range].[Revenue].[All]" dimensionUniqueName="[Range]" displayFolder="" count="0" memberValueDatatype="20" unbalanced="0"/>
    <cacheHierarchy uniqueName="[Range].[Revenue Growth %]" caption="Revenue Growth %" attribute="1" defaultMemberUniqueName="[Range].[Revenue Growth %].[All]" allUniqueName="[Range].[Revenue Growth %].[All]" dimensionUniqueName="[Range]" displayFolder="" count="0" memberValueDatatype="130" unbalanced="0"/>
    <cacheHierarchy uniqueName="[Range].[Net Income]" caption="Net Income" attribute="1" defaultMemberUniqueName="[Range].[Net Income].[All]" allUniqueName="[Range].[Net Income].[All]" dimensionUniqueName="[Range]" displayFolder="" count="0" memberValueDatatype="20" unbalanced="0"/>
    <cacheHierarchy uniqueName="[Range].[Net Income Growth %]" caption="Net Income Growth %" attribute="1" defaultMemberUniqueName="[Range].[Net Income Growth %].[All]" allUniqueName="[Range].[Net Income Growth %].[All]" dimensionUniqueName="[Range]" displayFolder="" count="0" memberValueDatatype="5" unbalanced="0"/>
    <cacheHierarchy uniqueName="[Range].[Operating Income]" caption="Operating Income" attribute="1" defaultMemberUniqueName="[Range].[Operating Income].[All]" allUniqueName="[Range].[Operating Income].[All]" dimensionUniqueName="[Range]" displayFolder="" count="0" memberValueDatatype="20" unbalanced="0"/>
    <cacheHierarchy uniqueName="[Range].[Operating Expenses]" caption="Operating Expenses" attribute="1" defaultMemberUniqueName="[Range].[Operating Expenses].[All]" allUniqueName="[Range].[Operating Expenses].[All]" dimensionUniqueName="[Range]" displayFolder="" count="0" memberValueDatatype="20" unbalanced="0"/>
    <cacheHierarchy uniqueName="[Range].[Operating Margin]" caption="Operating Margin" attribute="1" defaultMemberUniqueName="[Range].[Operating Margin].[All]" allUniqueName="[Range].[Operating Margin].[All]" dimensionUniqueName="[Range]" displayFolder="" count="0" memberValueDatatype="5" unbalanced="0"/>
    <cacheHierarchy uniqueName="[Range].[Net Profit Margin]" caption="Net Profit Margin" attribute="1" defaultMemberUniqueName="[Range].[Net Profit Margin].[All]" allUniqueName="[Range].[Net Profit Margin].[All]" dimensionUniqueName="[Range]" displayFolder="" count="0" memberValueDatatype="5" unbalanced="0"/>
    <cacheHierarchy uniqueName="[Range].[Expense Ratio]" caption="Expense Ratio" attribute="1" defaultMemberUniqueName="[Range].[Expense Ratio].[All]" allUniqueName="[Range].[Expense Ratio].[All]" dimensionUniqueName="[Range]" displayFolder="" count="0" memberValueDatatype="5" unbalanced="0"/>
    <cacheHierarchy uniqueName="[Range].[Total Stores]" caption="Total Stores" attribute="1" defaultMemberUniqueName="[Range].[Total Stores].[All]" allUniqueName="[Range].[Total Stores].[All]" dimensionUniqueName="[Range]" displayFolder="" count="0" memberValueDatatype="20" unbalanced="0"/>
    <cacheHierarchy uniqueName="[Range].[Total Store Growth %]" caption="Total Store Growth %" attribute="1" defaultMemberUniqueName="[Range].[Total Store Growth %].[All]" allUniqueName="[Range].[Total Store Growth %].[All]" dimensionUniqueName="[Range]" displayFolder="" count="0" memberValueDatatype="130" unbalanced="0"/>
    <cacheHierarchy uniqueName="[Range].[Company Stores]" caption="Company Stores" attribute="1" defaultMemberUniqueName="[Range].[Company Stores].[All]" allUniqueName="[Range].[Company Stores].[All]" dimensionUniqueName="[Range]" displayFolder="" count="0" memberValueDatatype="130" unbalanced="0"/>
    <cacheHierarchy uniqueName="[Range].[Franchise Stores]" caption="Franchise Stores" attribute="1" defaultMemberUniqueName="[Range].[Franchise Stores].[All]" allUniqueName="[Range].[Franchise Stores].[All]" dimensionUniqueName="[Range]" displayFolder="" count="0" memberValueDatatype="130" unbalanced="0"/>
    <cacheHierarchy uniqueName="[Range].[Revenue per Store]" caption="Revenue per Store" attribute="1" defaultMemberUniqueName="[Range].[Revenue per Store].[All]" allUniqueName="[Range].[Revenue per Store].[All]" dimensionUniqueName="[Range]" displayFolder="" count="0" memberValueDatatype="5"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Revenue]" caption="Sum of Revenue" measure="1" displayFolder="" measureGroup="Range" count="0" oneField="1" hidden="1">
      <fieldsUsage count="1">
        <fieldUsage x="1"/>
      </fieldsUsage>
      <extLst>
        <ext xmlns:x15="http://schemas.microsoft.com/office/spreadsheetml/2010/11/main" uri="{B97F6D7D-B522-45F9-BDA1-12C45D357490}">
          <x15:cacheHierarchy aggregatedColumn="1"/>
        </ext>
      </extLst>
    </cacheHierarchy>
    <cacheHierarchy uniqueName="[Measures].[Sum of Total Stores]" caption="Sum of Total Stores" measure="1" displayFolder="" measureGroup="Range" count="0" oneField="1" hidden="1">
      <fieldsUsage count="1">
        <fieldUsage x="2"/>
      </fieldsUsage>
      <extLst>
        <ext xmlns:x15="http://schemas.microsoft.com/office/spreadsheetml/2010/11/main" uri="{B97F6D7D-B522-45F9-BDA1-12C45D357490}">
          <x15:cacheHierarchy aggregatedColumn="10"/>
        </ext>
      </extLst>
    </cacheHierarchy>
    <cacheHierarchy uniqueName="[Measures].[Sum of Revenue per Store]" caption="Sum of Revenue per Store" measure="1" displayFolder="" measureGroup="Range" count="0" hidden="1">
      <extLst>
        <ext xmlns:x15="http://schemas.microsoft.com/office/spreadsheetml/2010/11/main" uri="{B97F6D7D-B522-45F9-BDA1-12C45D357490}">
          <x15:cacheHierarchy aggregatedColumn="14"/>
        </ext>
      </extLst>
    </cacheHierarchy>
    <cacheHierarchy uniqueName="[Measures].[Sum of Operating Expenses]" caption="Sum of Operating Expenses" measure="1" displayFolder="" measureGroup="Range" count="0" hidden="1">
      <extLst>
        <ext xmlns:x15="http://schemas.microsoft.com/office/spreadsheetml/2010/11/main" uri="{B97F6D7D-B522-45F9-BDA1-12C45D357490}">
          <x15:cacheHierarchy aggregatedColumn="6"/>
        </ext>
      </extLst>
    </cacheHierarchy>
    <cacheHierarchy uniqueName="[Measures].[Sum of Expense Ratio]" caption="Sum of Expense Ratio" measure="1" displayFolder="" measureGroup="Range" count="0" hidden="1">
      <extLst>
        <ext xmlns:x15="http://schemas.microsoft.com/office/spreadsheetml/2010/11/main" uri="{B97F6D7D-B522-45F9-BDA1-12C45D357490}">
          <x15:cacheHierarchy aggregatedColumn="9"/>
        </ext>
      </extLst>
    </cacheHierarchy>
    <cacheHierarchy uniqueName="[Measures].[Sum of Net Profit Margin]" caption="Sum of Net Profit Margin" measure="1" displayFolder="" measureGroup="Range" count="0" hidden="1">
      <extLst>
        <ext xmlns:x15="http://schemas.microsoft.com/office/spreadsheetml/2010/11/main" uri="{B97F6D7D-B522-45F9-BDA1-12C45D357490}">
          <x15:cacheHierarchy aggregatedColumn="8"/>
        </ext>
      </extLst>
    </cacheHierarchy>
    <cacheHierarchy uniqueName="[Measures].[Count of Net Income Growth %]" caption="Count of Net Income Growth %" measure="1" displayFolder="" measureGroup="Range" count="0" hidden="1">
      <extLst>
        <ext xmlns:x15="http://schemas.microsoft.com/office/spreadsheetml/2010/11/main" uri="{B97F6D7D-B522-45F9-BDA1-12C45D357490}">
          <x15:cacheHierarchy aggregatedColumn="4"/>
        </ext>
      </extLst>
    </cacheHierarchy>
    <cacheHierarchy uniqueName="[Measures].[Sum of Net Income Growth %]" caption="Sum of Net Income Growth %" measure="1" displayFolder="" measureGroup="Range" count="0" oneField="1" hidden="1">
      <fieldsUsage count="1">
        <fieldUsage x="3"/>
      </fieldsUsage>
      <extLst>
        <ext xmlns:x15="http://schemas.microsoft.com/office/spreadsheetml/2010/11/main" uri="{B97F6D7D-B522-45F9-BDA1-12C45D357490}">
          <x15:cacheHierarchy aggregatedColumn="4"/>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ydney" refreshedDate="46233.424447569443" createdVersion="8" refreshedVersion="8" minRefreshableVersion="3" recordCount="6" xr:uid="{1E96E74F-403F-4DF5-BE74-398145070EF8}">
  <cacheSource type="worksheet">
    <worksheetSource ref="A1:Q7" sheet="Data"/>
  </cacheSource>
  <cacheFields count="17">
    <cacheField name="Year" numFmtId="0">
      <sharedItems containsSemiMixedTypes="0" containsString="0" containsNumber="1" containsInteger="1" minValue="2020" maxValue="2025" count="6">
        <n v="2020"/>
        <n v="2021"/>
        <n v="2022"/>
        <n v="2023"/>
        <n v="2024"/>
        <n v="2025"/>
      </sharedItems>
    </cacheField>
    <cacheField name="Revenue" numFmtId="164">
      <sharedItems containsSemiMixedTypes="0" containsString="0" containsNumber="1" containsInteger="1" minValue="327413000" maxValue="1638159000"/>
    </cacheField>
    <cacheField name="Revenue Growth %" numFmtId="165">
      <sharedItems containsMixedTypes="1" containsNumber="1" minValue="0.27879767215840562" maxValue="0.52063601628524214"/>
    </cacheField>
    <cacheField name="Net Income" numFmtId="164">
      <sharedItems containsSemiMixedTypes="0" containsString="0" containsNumber="1" containsInteger="1" minValue="-117931000" maxValue="117275000"/>
    </cacheField>
    <cacheField name="Net Income Growth %" numFmtId="165">
      <sharedItems containsString="0" containsBlank="1" containsNumber="1" minValue="-20.466985803895675" maxValue="5.677049839228296"/>
    </cacheField>
    <cacheField name="Operating Income" numFmtId="164">
      <sharedItems containsSemiMixedTypes="0" containsString="0" containsNumber="1" containsInteger="1" minValue="-111226000" maxValue="161180000"/>
    </cacheField>
    <cacheField name="Operating Expenses" numFmtId="164">
      <sharedItems containsSemiMixedTypes="0" containsString="0" containsNumber="1" containsInteger="1" minValue="316413000" maxValue="1476979000"/>
    </cacheField>
    <cacheField name="Operating Margin" numFmtId="165">
      <sharedItems containsSemiMixedTypes="0" containsString="0" containsNumber="1" minValue="-0.22340100747977409" maxValue="9.839093763181718E-2"/>
    </cacheField>
    <cacheField name="Net Profit Margin" numFmtId="165">
      <sharedItems containsSemiMixedTypes="0" containsString="0" containsNumber="1" minValue="-0.23686821618234258" maxValue="7.1589509931575632E-2"/>
    </cacheField>
    <cacheField name="Expense Ratio" numFmtId="165">
      <sharedItems containsSemiMixedTypes="0" containsString="0" containsNumber="1" minValue="0.90160906236818283" maxValue="1.2234010074797741"/>
    </cacheField>
    <cacheField name="Total Stores" numFmtId="1">
      <sharedItems containsSemiMixedTypes="0" containsString="0" containsNumber="1" containsInteger="1" minValue="441" maxValue="1136"/>
    </cacheField>
    <cacheField name="Total Store Growth %" numFmtId="165">
      <sharedItems containsMixedTypes="1" containsNumber="1" minValue="0.15682281059063136" maxValue="0.24721189591078066"/>
    </cacheField>
    <cacheField name="Company Stores" numFmtId="1">
      <sharedItems containsMixedTypes="1" containsNumber="1" containsInteger="1" minValue="271" maxValue="811"/>
    </cacheField>
    <cacheField name="Franchise Stores" numFmtId="1">
      <sharedItems containsMixedTypes="1" containsNumber="1" containsInteger="1" minValue="267" maxValue="325"/>
    </cacheField>
    <cacheField name="Revenue per Store" numFmtId="164">
      <sharedItems containsSemiMixedTypes="0" containsString="0" containsNumber="1" minValue="742433.10657596367" maxValue="1442041.3732394367"/>
    </cacheField>
    <cacheField name="Company Stores % of Total" numFmtId="10">
      <sharedItems containsMixedTypes="1" containsNumber="1" minValue="0.50371747211895912" maxValue="0.71390845070422537"/>
    </cacheField>
    <cacheField name="Franchise Stores % of Total" numFmtId="10">
      <sharedItems containsMixedTypes="1" containsNumber="1" minValue="0.28609154929577463" maxValue="0.49628252788104088"/>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ydney" refreshedDate="46233.525707523149" createdVersion="8" refreshedVersion="8" minRefreshableVersion="3" recordCount="6" xr:uid="{E23D66CA-807E-4262-9BA2-EC4B4517BEAA}">
  <cacheSource type="worksheet">
    <worksheetSource ref="A1:R7" sheet="Data"/>
  </cacheSource>
  <cacheFields count="18">
    <cacheField name="Year" numFmtId="0">
      <sharedItems containsSemiMixedTypes="0" containsString="0" containsNumber="1" containsInteger="1" minValue="2020" maxValue="2025" count="6">
        <n v="2020"/>
        <n v="2021"/>
        <n v="2022"/>
        <n v="2023"/>
        <n v="2024"/>
        <n v="2025"/>
      </sharedItems>
    </cacheField>
    <cacheField name="Revenue" numFmtId="164">
      <sharedItems containsSemiMixedTypes="0" containsString="0" containsNumber="1" containsInteger="1" minValue="327413000" maxValue="1638159000"/>
    </cacheField>
    <cacheField name="Revenue Growth %" numFmtId="165">
      <sharedItems containsMixedTypes="1" containsNumber="1" minValue="0.27879767215840562" maxValue="0.52063601628524214"/>
    </cacheField>
    <cacheField name="Net Income" numFmtId="164">
      <sharedItems containsSemiMixedTypes="0" containsString="0" containsNumber="1" containsInteger="1" minValue="-117931000" maxValue="117275000"/>
    </cacheField>
    <cacheField name="Net Income Growth %" numFmtId="165">
      <sharedItems containsString="0" containsBlank="1" containsNumber="1" minValue="-20.466985803895675" maxValue="5.677049839228296"/>
    </cacheField>
    <cacheField name="Operating Income" numFmtId="164">
      <sharedItems containsSemiMixedTypes="0" containsString="0" containsNumber="1" containsInteger="1" minValue="-111226000" maxValue="161180000"/>
    </cacheField>
    <cacheField name="Operating Expenses" numFmtId="164">
      <sharedItems containsSemiMixedTypes="0" containsString="0" containsNumber="1" containsInteger="1" minValue="316413000" maxValue="1476979000"/>
    </cacheField>
    <cacheField name="Operating Margin" numFmtId="165">
      <sharedItems containsSemiMixedTypes="0" containsString="0" containsNumber="1" minValue="-0.22340100747977409" maxValue="9.839093763181718E-2"/>
    </cacheField>
    <cacheField name="Net Profit Margin" numFmtId="165">
      <sharedItems containsSemiMixedTypes="0" containsString="0" containsNumber="1" minValue="-0.23686821618234258" maxValue="7.1589509931575632E-2"/>
    </cacheField>
    <cacheField name="Expense Ratio" numFmtId="165">
      <sharedItems containsSemiMixedTypes="0" containsString="0" containsNumber="1" minValue="0.90160906236818283" maxValue="1.2234010074797741"/>
    </cacheField>
    <cacheField name="Total Stores" numFmtId="1">
      <sharedItems containsSemiMixedTypes="0" containsString="0" containsNumber="1" containsInteger="1" minValue="441" maxValue="1136"/>
    </cacheField>
    <cacheField name="Total Store Growth %" numFmtId="165">
      <sharedItems containsMixedTypes="1" containsNumber="1" minValue="0.15682281059063136" maxValue="0.24721189591078066"/>
    </cacheField>
    <cacheField name="Company Stores" numFmtId="1">
      <sharedItems containsMixedTypes="1" containsNumber="1" containsInteger="1" minValue="271" maxValue="811"/>
    </cacheField>
    <cacheField name="Franchise Stores" numFmtId="1">
      <sharedItems containsMixedTypes="1" containsNumber="1" containsInteger="1" minValue="267" maxValue="325"/>
    </cacheField>
    <cacheField name="Revenue per Store" numFmtId="164">
      <sharedItems containsSemiMixedTypes="0" containsString="0" containsNumber="1" minValue="742433.10657596367" maxValue="1442041.3732394367"/>
    </cacheField>
    <cacheField name="Company Stores % of Total" numFmtId="10">
      <sharedItems containsMixedTypes="1" containsNumber="1" minValue="0.50371747211895912" maxValue="0.71390845070422537"/>
    </cacheField>
    <cacheField name="Franchise Stores % of Total" numFmtId="10">
      <sharedItems containsMixedTypes="1" containsNumber="1" minValue="0.28609154929577463" maxValue="0.49628252788104088"/>
    </cacheField>
    <cacheField name="Same Shop Sales Growth %" numFmtId="165">
      <sharedItems containsString="0" containsBlank="1" containsNumber="1" minValue="0.01" maxValue="8.4000000000000005E-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n v="327413000"/>
    <s v="NA"/>
    <n v="6058000"/>
    <m/>
    <n v="11000000"/>
    <n v="316413000"/>
    <n v="3.3596711187399403E-2"/>
    <n v="1.8502625124842326E-2"/>
    <n v="0.96640328881260062"/>
    <n v="441"/>
    <s v="NA"/>
    <s v="NA"/>
    <s v="NA"/>
    <n v="742433.10657596367"/>
  </r>
  <r>
    <x v="1"/>
    <n v="497876000"/>
    <n v="0.52063601628524214"/>
    <n v="-117931000"/>
    <n v="-20.466985803895675"/>
    <n v="-111226000"/>
    <n v="609102000"/>
    <n v="-0.22340100747977409"/>
    <n v="-0.23686821618234258"/>
    <n v="1.2234010074797741"/>
    <n v="538"/>
    <n v="0.2199546485260771"/>
    <n v="271"/>
    <n v="267"/>
    <n v="925420.07434944238"/>
  </r>
  <r>
    <x v="2"/>
    <n v="739012000"/>
    <n v="0.48432943142469209"/>
    <n v="-19253000"/>
    <m/>
    <n v="-2612000"/>
    <n v="741624000"/>
    <n v="-3.5344486963675825E-3"/>
    <n v="-2.6052350976709444E-2"/>
    <n v="1.0035344486963675"/>
    <n v="671"/>
    <n v="0.24721189591078066"/>
    <n v="396"/>
    <n v="274"/>
    <n v="1101359.1654247392"/>
  </r>
  <r>
    <x v="3"/>
    <n v="965776000"/>
    <n v="0.30684752074391214"/>
    <n v="9952000"/>
    <m/>
    <n v="46222000"/>
    <n v="919554000"/>
    <n v="4.7859959245208E-2"/>
    <n v="1.0304666920693826E-2"/>
    <n v="0.95214004075479197"/>
    <n v="831"/>
    <n v="0.23845007451564829"/>
    <n v="542"/>
    <n v="289"/>
    <n v="1162185.3188929001"/>
  </r>
  <r>
    <x v="4"/>
    <n v="1281015000"/>
    <n v="0.32641005781879029"/>
    <n v="66450000"/>
    <n v="5.677049839228296"/>
    <n v="106093000"/>
    <n v="1174922000"/>
    <n v="8.2819482988099283E-2"/>
    <n v="5.1872928888420509E-2"/>
    <n v="0.91718051701190073"/>
    <n v="982"/>
    <n v="0.18170878459687123"/>
    <n v="670"/>
    <n v="312"/>
    <n v="1304495.9266802445"/>
  </r>
  <r>
    <x v="5"/>
    <n v="1638159000"/>
    <n v="0.27879767215840562"/>
    <n v="117275000"/>
    <n v="0.76486079759217451"/>
    <n v="161180000"/>
    <n v="1476979000"/>
    <n v="9.839093763181718E-2"/>
    <n v="7.1589509931575632E-2"/>
    <n v="0.90160906236818283"/>
    <n v="1136"/>
    <n v="0.15682281059063136"/>
    <n v="811"/>
    <n v="325"/>
    <n v="1442041.373239436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n v="327413000"/>
    <s v="NA"/>
    <n v="6058000"/>
    <m/>
    <n v="11000000"/>
    <n v="316413000"/>
    <n v="3.3596711187399403E-2"/>
    <n v="1.8502625124842326E-2"/>
    <n v="0.96640328881260062"/>
    <n v="441"/>
    <s v="NA"/>
    <s v="NA"/>
    <s v="NA"/>
    <n v="742433.10657596367"/>
    <s v="-"/>
    <s v="-"/>
  </r>
  <r>
    <x v="1"/>
    <n v="497876000"/>
    <n v="0.52063601628524214"/>
    <n v="-117931000"/>
    <n v="-20.466985803895675"/>
    <n v="-111226000"/>
    <n v="609102000"/>
    <n v="-0.22340100747977409"/>
    <n v="-0.23686821618234258"/>
    <n v="1.2234010074797741"/>
    <n v="538"/>
    <n v="0.2199546485260771"/>
    <n v="271"/>
    <n v="267"/>
    <n v="925420.07434944238"/>
    <n v="0.50371747211895912"/>
    <n v="0.49628252788104088"/>
  </r>
  <r>
    <x v="2"/>
    <n v="739012000"/>
    <n v="0.48432943142469209"/>
    <n v="-19253000"/>
    <m/>
    <n v="-2612000"/>
    <n v="741624000"/>
    <n v="-3.5344486963675825E-3"/>
    <n v="-2.6052350976709444E-2"/>
    <n v="1.0035344486963675"/>
    <n v="671"/>
    <n v="0.24721189591078066"/>
    <n v="396"/>
    <n v="274"/>
    <n v="1101359.1654247392"/>
    <n v="0.5901639344262295"/>
    <n v="0.40834575260804767"/>
  </r>
  <r>
    <x v="3"/>
    <n v="965776000"/>
    <n v="0.30684752074391214"/>
    <n v="9952000"/>
    <m/>
    <n v="46222000"/>
    <n v="919554000"/>
    <n v="4.7859959245208E-2"/>
    <n v="1.0304666920693826E-2"/>
    <n v="0.95214004075479197"/>
    <n v="831"/>
    <n v="0.23845007451564829"/>
    <n v="542"/>
    <n v="289"/>
    <n v="1162185.3188929001"/>
    <n v="0.65222623345367026"/>
    <n v="0.34777376654632974"/>
  </r>
  <r>
    <x v="4"/>
    <n v="1281015000"/>
    <n v="0.32641005781879029"/>
    <n v="66450000"/>
    <n v="5.677049839228296"/>
    <n v="106093000"/>
    <n v="1174922000"/>
    <n v="8.2819482988099283E-2"/>
    <n v="5.1872928888420509E-2"/>
    <n v="0.91718051701190073"/>
    <n v="982"/>
    <n v="0.18170878459687123"/>
    <n v="670"/>
    <n v="312"/>
    <n v="1304495.9266802445"/>
    <n v="0.68228105906313641"/>
    <n v="0.31771894093686354"/>
  </r>
  <r>
    <x v="5"/>
    <n v="1638159000"/>
    <n v="0.27879767215840562"/>
    <n v="117275000"/>
    <n v="0.76486079759217451"/>
    <n v="161180000"/>
    <n v="1476979000"/>
    <n v="9.839093763181718E-2"/>
    <n v="7.1589509931575632E-2"/>
    <n v="0.90160906236818283"/>
    <n v="1136"/>
    <n v="0.15682281059063136"/>
    <n v="811"/>
    <n v="325"/>
    <n v="1442041.3732394367"/>
    <n v="0.71390845070422537"/>
    <n v="0.28609154929577463"/>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n v="327413000"/>
    <s v="NA"/>
    <n v="6058000"/>
    <m/>
    <n v="11000000"/>
    <n v="316413000"/>
    <n v="3.3596711187399403E-2"/>
    <n v="1.8502625124842326E-2"/>
    <n v="0.96640328881260062"/>
    <n v="441"/>
    <s v="NA"/>
    <s v="NA"/>
    <s v="NA"/>
    <n v="742433.10657596367"/>
    <s v="-"/>
    <s v="-"/>
    <m/>
  </r>
  <r>
    <x v="1"/>
    <n v="497876000"/>
    <n v="0.52063601628524214"/>
    <n v="-117931000"/>
    <n v="-20.466985803895675"/>
    <n v="-111226000"/>
    <n v="609102000"/>
    <n v="-0.22340100747977409"/>
    <n v="-0.23686821618234258"/>
    <n v="1.2234010074797741"/>
    <n v="538"/>
    <n v="0.2199546485260771"/>
    <n v="271"/>
    <n v="267"/>
    <n v="925420.07434944238"/>
    <n v="0.50371747211895912"/>
    <n v="0.49628252788104088"/>
    <n v="8.4000000000000005E-2"/>
  </r>
  <r>
    <x v="2"/>
    <n v="739012000"/>
    <n v="0.48432943142469209"/>
    <n v="-19253000"/>
    <m/>
    <n v="-2612000"/>
    <n v="741624000"/>
    <n v="-3.5344486963675825E-3"/>
    <n v="-2.6052350976709444E-2"/>
    <n v="1.0035344486963675"/>
    <n v="671"/>
    <n v="0.24721189591078066"/>
    <n v="396"/>
    <n v="274"/>
    <n v="1101359.1654247392"/>
    <n v="0.5901639344262295"/>
    <n v="0.40834575260804767"/>
    <n v="0.01"/>
  </r>
  <r>
    <x v="3"/>
    <n v="965776000"/>
    <n v="0.30684752074391214"/>
    <n v="9952000"/>
    <m/>
    <n v="46222000"/>
    <n v="919554000"/>
    <n v="4.7859959245208E-2"/>
    <n v="1.0304666920693826E-2"/>
    <n v="0.95214004075479197"/>
    <n v="831"/>
    <n v="0.23845007451564829"/>
    <n v="542"/>
    <n v="289"/>
    <n v="1162185.3188929001"/>
    <n v="0.65222623345367026"/>
    <n v="0.34777376654632974"/>
    <n v="2.8000000000000001E-2"/>
  </r>
  <r>
    <x v="4"/>
    <n v="1281015000"/>
    <n v="0.32641005781879029"/>
    <n v="66450000"/>
    <n v="5.677049839228296"/>
    <n v="106093000"/>
    <n v="1174922000"/>
    <n v="8.2819482988099283E-2"/>
    <n v="5.1872928888420509E-2"/>
    <n v="0.91718051701190073"/>
    <n v="982"/>
    <n v="0.18170878459687123"/>
    <n v="670"/>
    <n v="312"/>
    <n v="1304495.9266802445"/>
    <n v="0.68228105906313641"/>
    <n v="0.31771894093686354"/>
    <n v="5.2999999999999999E-2"/>
  </r>
  <r>
    <x v="5"/>
    <n v="1638159000"/>
    <n v="0.27879767215840562"/>
    <n v="117275000"/>
    <n v="0.76486079759217451"/>
    <n v="161180000"/>
    <n v="1476979000"/>
    <n v="9.839093763181718E-2"/>
    <n v="7.1589509931575632E-2"/>
    <n v="0.90160906236818283"/>
    <n v="1136"/>
    <n v="0.15682281059063136"/>
    <n v="811"/>
    <n v="325"/>
    <n v="1442041.3732394367"/>
    <n v="0.71390845070422537"/>
    <n v="0.28609154929577463"/>
    <n v="5.6000000000000001E-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FFB7617-EBE0-4265-836B-C1708EFC2C84}" name="PivotTable11"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7" rowHeaderCaption="Year">
  <location ref="H30:J36" firstHeaderRow="0" firstDataRow="1" firstDataCol="1"/>
  <pivotFields count="17">
    <pivotField axis="axisRow" showAll="0">
      <items count="7">
        <item x="0"/>
        <item x="1"/>
        <item x="2"/>
        <item x="3"/>
        <item x="4"/>
        <item x="5"/>
        <item t="default"/>
      </items>
    </pivotField>
    <pivotField numFmtId="164" showAll="0"/>
    <pivotField showAll="0"/>
    <pivotField numFmtId="164" showAll="0"/>
    <pivotField showAll="0"/>
    <pivotField numFmtId="164" showAll="0"/>
    <pivotField numFmtId="164" showAll="0"/>
    <pivotField numFmtId="165" showAll="0"/>
    <pivotField numFmtId="165" showAll="0"/>
    <pivotField numFmtId="165" showAll="0"/>
    <pivotField numFmtId="1" showAll="0"/>
    <pivotField showAll="0"/>
    <pivotField dataField="1" showAll="0"/>
    <pivotField dataField="1" showAll="0"/>
    <pivotField numFmtId="164" showAll="0"/>
    <pivotField showAll="0"/>
    <pivotField showAll="0"/>
  </pivotFields>
  <rowFields count="1">
    <field x="0"/>
  </rowFields>
  <rowItems count="6">
    <i>
      <x/>
    </i>
    <i>
      <x v="1"/>
    </i>
    <i>
      <x v="2"/>
    </i>
    <i>
      <x v="3"/>
    </i>
    <i>
      <x v="4"/>
    </i>
    <i>
      <x v="5"/>
    </i>
  </rowItems>
  <colFields count="1">
    <field x="-2"/>
  </colFields>
  <colItems count="2">
    <i>
      <x/>
    </i>
    <i i="1">
      <x v="1"/>
    </i>
  </colItems>
  <dataFields count="2">
    <dataField name=" Company Stores" fld="12" baseField="0" baseItem="1"/>
    <dataField name=" Franchise Stores" fld="13" baseField="0" baseItem="1"/>
  </dataFields>
  <formats count="2">
    <format dxfId="0">
      <pivotArea field="0" type="button" dataOnly="0" labelOnly="1" outline="0" axis="axisRow" fieldPosition="0"/>
    </format>
    <format dxfId="1">
      <pivotArea dataOnly="0" labelOnly="1" fieldPosition="0">
        <references count="1">
          <reference field="0" count="0"/>
        </references>
      </pivotArea>
    </format>
  </formats>
  <chartFormats count="4">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4"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1"/>
          </reference>
        </references>
      </pivotArea>
    </chartFormat>
  </chartFormats>
  <pivotTableStyleInfo name="PivotStyleMedium2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8A73147-01B2-4C55-9CDA-A615C60B1095}" name="PivotTable10" cacheId="1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Year">
  <location ref="A48:B54" firstHeaderRow="1" firstDataRow="1" firstDataCol="1"/>
  <pivotFields count="18">
    <pivotField axis="axisRow" showAll="0">
      <items count="7">
        <item x="0"/>
        <item x="1"/>
        <item x="2"/>
        <item x="3"/>
        <item x="4"/>
        <item x="5"/>
        <item t="default"/>
      </items>
    </pivotField>
    <pivotField numFmtId="164" showAll="0"/>
    <pivotField showAll="0"/>
    <pivotField numFmtId="164" showAll="0"/>
    <pivotField showAll="0"/>
    <pivotField numFmtId="164" showAll="0"/>
    <pivotField numFmtId="164" showAll="0"/>
    <pivotField numFmtId="165" showAll="0"/>
    <pivotField numFmtId="165" showAll="0"/>
    <pivotField numFmtId="165" showAll="0"/>
    <pivotField numFmtId="1" showAll="0"/>
    <pivotField showAll="0"/>
    <pivotField showAll="0"/>
    <pivotField showAll="0"/>
    <pivotField numFmtId="164" showAll="0"/>
    <pivotField showAll="0"/>
    <pivotField showAll="0"/>
    <pivotField dataField="1" showAll="0"/>
  </pivotFields>
  <rowFields count="1">
    <field x="0"/>
  </rowFields>
  <rowItems count="6">
    <i>
      <x/>
    </i>
    <i>
      <x v="1"/>
    </i>
    <i>
      <x v="2"/>
    </i>
    <i>
      <x v="3"/>
    </i>
    <i>
      <x v="4"/>
    </i>
    <i>
      <x v="5"/>
    </i>
  </rowItems>
  <colItems count="1">
    <i/>
  </colItems>
  <dataFields count="1">
    <dataField name=" Same Shop Sales Growth %" fld="17" baseField="0" baseItem="0" numFmtId="9"/>
  </dataFields>
  <formats count="18">
    <format dxfId="26">
      <pivotArea dataOnly="0" outline="0" axis="axisValues" fieldPosition="0"/>
    </format>
    <format dxfId="27">
      <pivotArea collapsedLevelsAreSubtotals="1" fieldPosition="0">
        <references count="1">
          <reference field="0" count="0"/>
        </references>
      </pivotArea>
    </format>
    <format dxfId="28">
      <pivotArea field="0" type="button" dataOnly="0" labelOnly="1" outline="0" axis="axisRow" fieldPosition="0"/>
    </format>
    <format dxfId="29">
      <pivotArea dataOnly="0" labelOnly="1" fieldPosition="0">
        <references count="1">
          <reference field="0" count="0"/>
        </references>
      </pivotArea>
    </format>
    <format dxfId="30">
      <pivotArea outline="0" collapsedLevelsAreSubtotals="1" fieldPosition="0"/>
    </format>
    <format dxfId="31">
      <pivotArea dataOnly="0" labelOnly="1" outline="0" axis="axisValues" fieldPosition="0"/>
    </format>
    <format dxfId="32">
      <pivotArea field="0" type="button" dataOnly="0" labelOnly="1" outline="0" axis="axisRow" fieldPosition="0"/>
    </format>
    <format dxfId="33">
      <pivotArea dataOnly="0" labelOnly="1" fieldPosition="0">
        <references count="1">
          <reference field="0" count="0"/>
        </references>
      </pivotArea>
    </format>
    <format dxfId="34">
      <pivotArea type="all" dataOnly="0" outline="0" fieldPosition="0"/>
    </format>
    <format dxfId="35">
      <pivotArea outline="0" collapsedLevelsAreSubtotals="1" fieldPosition="0"/>
    </format>
    <format dxfId="36">
      <pivotArea field="0" type="button" dataOnly="0" labelOnly="1" outline="0" axis="axisRow" fieldPosition="0"/>
    </format>
    <format dxfId="37">
      <pivotArea dataOnly="0" labelOnly="1" fieldPosition="0">
        <references count="1">
          <reference field="0" count="0"/>
        </references>
      </pivotArea>
    </format>
    <format dxfId="38">
      <pivotArea dataOnly="0" labelOnly="1" outline="0" axis="axisValues" fieldPosition="0"/>
    </format>
    <format dxfId="25">
      <pivotArea type="all" dataOnly="0" outline="0" fieldPosition="0"/>
    </format>
    <format dxfId="24">
      <pivotArea outline="0" collapsedLevelsAreSubtotals="1" fieldPosition="0"/>
    </format>
    <format dxfId="23">
      <pivotArea field="0" type="button" dataOnly="0" labelOnly="1" outline="0" axis="axisRow" fieldPosition="0"/>
    </format>
    <format dxfId="22">
      <pivotArea dataOnly="0" labelOnly="1" fieldPosition="0">
        <references count="1">
          <reference field="0" count="0"/>
        </references>
      </pivotArea>
    </format>
    <format dxfId="21">
      <pivotArea dataOnly="0" labelOnly="1" outline="0" axis="axisValues" fieldPosition="0"/>
    </format>
  </formats>
  <pivotTableStyleInfo name="PivotStyleMedium2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F62A743-0127-4680-9A5C-70330788E557}" name="PivotTable8" cacheId="1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Year">
  <location ref="A39:E45" firstHeaderRow="0" firstDataRow="1" firstDataCol="1"/>
  <pivotFields count="18">
    <pivotField axis="axisRow" showAll="0">
      <items count="7">
        <item x="0"/>
        <item x="1"/>
        <item x="2"/>
        <item x="3"/>
        <item x="4"/>
        <item x="5"/>
        <item t="default"/>
      </items>
    </pivotField>
    <pivotField dataField="1" numFmtId="164" showAll="0"/>
    <pivotField showAll="0"/>
    <pivotField dataField="1" numFmtId="164" showAll="0"/>
    <pivotField showAll="0"/>
    <pivotField dataField="1" numFmtId="164" showAll="0"/>
    <pivotField dataField="1" numFmtId="164" showAll="0"/>
    <pivotField numFmtId="165" showAll="0"/>
    <pivotField numFmtId="165" showAll="0"/>
    <pivotField numFmtId="165" showAll="0"/>
    <pivotField numFmtId="1" showAll="0"/>
    <pivotField showAll="0"/>
    <pivotField showAll="0"/>
    <pivotField showAll="0"/>
    <pivotField numFmtId="164" showAll="0"/>
    <pivotField showAll="0"/>
    <pivotField showAll="0"/>
    <pivotField showAll="0"/>
  </pivotFields>
  <rowFields count="1">
    <field x="0"/>
  </rowFields>
  <rowItems count="6">
    <i>
      <x/>
    </i>
    <i>
      <x v="1"/>
    </i>
    <i>
      <x v="2"/>
    </i>
    <i>
      <x v="3"/>
    </i>
    <i>
      <x v="4"/>
    </i>
    <i>
      <x v="5"/>
    </i>
  </rowItems>
  <colFields count="1">
    <field x="-2"/>
  </colFields>
  <colItems count="4">
    <i>
      <x/>
    </i>
    <i i="1">
      <x v="1"/>
    </i>
    <i i="2">
      <x v="2"/>
    </i>
    <i i="3">
      <x v="3"/>
    </i>
  </colItems>
  <dataFields count="4">
    <dataField name=" Revenue" fld="1" baseField="0" baseItem="0" numFmtId="164"/>
    <dataField name=" Operating Income" fld="5" baseField="0" baseItem="0" numFmtId="164"/>
    <dataField name=" Net Income" fld="3" baseField="0" baseItem="0" numFmtId="164"/>
    <dataField name=" Operating Expenses" fld="6" baseField="0" baseItem="0" numFmtId="164"/>
  </dataFields>
  <formats count="11">
    <format dxfId="59">
      <pivotArea field="0" type="button" dataOnly="0" labelOnly="1" outline="0" axis="axisRow" fieldPosition="0"/>
    </format>
    <format dxfId="60">
      <pivotArea dataOnly="0" labelOnly="1" fieldPosition="0">
        <references count="1">
          <reference field="0" count="0"/>
        </references>
      </pivotArea>
    </format>
    <format dxfId="61">
      <pivotArea outline="0" collapsedLevelsAreSubtotals="1" fieldPosition="0"/>
    </format>
    <format dxfId="62">
      <pivotArea dataOnly="0" labelOnly="1" outline="0" fieldPosition="0">
        <references count="1">
          <reference field="4294967294" count="4">
            <x v="0"/>
            <x v="1"/>
            <x v="2"/>
            <x v="3"/>
          </reference>
        </references>
      </pivotArea>
    </format>
    <format dxfId="63">
      <pivotArea type="all" dataOnly="0" outline="0" fieldPosition="0"/>
    </format>
    <format dxfId="64">
      <pivotArea outline="0" collapsedLevelsAreSubtotals="1" fieldPosition="0"/>
    </format>
    <format dxfId="65">
      <pivotArea field="0" type="button" dataOnly="0" labelOnly="1" outline="0" axis="axisRow" fieldPosition="0"/>
    </format>
    <format dxfId="66">
      <pivotArea dataOnly="0" labelOnly="1" fieldPosition="0">
        <references count="1">
          <reference field="0" count="0"/>
        </references>
      </pivotArea>
    </format>
    <format dxfId="67">
      <pivotArea dataOnly="0" labelOnly="1" outline="0" fieldPosition="0">
        <references count="1">
          <reference field="4294967294" count="4">
            <x v="0"/>
            <x v="1"/>
            <x v="2"/>
            <x v="3"/>
          </reference>
        </references>
      </pivotArea>
    </format>
    <format dxfId="19">
      <pivotArea field="0" type="button" dataOnly="0" labelOnly="1" outline="0" axis="axisRow" fieldPosition="0"/>
    </format>
    <format dxfId="18">
      <pivotArea dataOnly="0" labelOnly="1" fieldPosition="0">
        <references count="1">
          <reference field="0" count="0"/>
        </references>
      </pivotArea>
    </format>
  </formats>
  <pivotTableStyleInfo name="PivotStyleMedium2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8551F56-8505-40B2-BA38-DC10935A3D75}" name="PivotTable6"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Year">
  <location ref="A30:F36" firstHeaderRow="0" firstDataRow="1" firstDataCol="1"/>
  <pivotFields count="17">
    <pivotField axis="axisRow" showAll="0">
      <items count="7">
        <item x="0"/>
        <item x="1"/>
        <item x="2"/>
        <item x="3"/>
        <item x="4"/>
        <item x="5"/>
        <item t="default"/>
      </items>
    </pivotField>
    <pivotField numFmtId="164" showAll="0"/>
    <pivotField showAll="0"/>
    <pivotField numFmtId="164" showAll="0"/>
    <pivotField showAll="0"/>
    <pivotField numFmtId="164" showAll="0"/>
    <pivotField numFmtId="164" showAll="0"/>
    <pivotField numFmtId="165" showAll="0"/>
    <pivotField numFmtId="165" showAll="0"/>
    <pivotField numFmtId="165" showAll="0"/>
    <pivotField dataField="1" numFmtId="1" showAll="0"/>
    <pivotField showAll="0"/>
    <pivotField dataField="1" showAll="0"/>
    <pivotField dataField="1" showAll="0"/>
    <pivotField numFmtId="164" showAll="0"/>
    <pivotField dataField="1" showAll="0"/>
    <pivotField dataField="1" showAll="0"/>
  </pivotFields>
  <rowFields count="1">
    <field x="0"/>
  </rowFields>
  <rowItems count="6">
    <i>
      <x/>
    </i>
    <i>
      <x v="1"/>
    </i>
    <i>
      <x v="2"/>
    </i>
    <i>
      <x v="3"/>
    </i>
    <i>
      <x v="4"/>
    </i>
    <i>
      <x v="5"/>
    </i>
  </rowItems>
  <colFields count="1">
    <field x="-2"/>
  </colFields>
  <colItems count="5">
    <i>
      <x/>
    </i>
    <i i="1">
      <x v="1"/>
    </i>
    <i i="2">
      <x v="2"/>
    </i>
    <i i="3">
      <x v="3"/>
    </i>
    <i i="4">
      <x v="4"/>
    </i>
  </colItems>
  <dataFields count="5">
    <dataField name=" Total Stores" fld="10" baseField="0" baseItem="0" numFmtId="1"/>
    <dataField name=" Company Stores" fld="12" baseField="0" baseItem="1"/>
    <dataField name=" Franchise Stores" fld="13" baseField="0" baseItem="1"/>
    <dataField name=" Company Stores % of Total" fld="15" baseField="0" baseItem="3" numFmtId="10"/>
    <dataField name=" Franchise Stores % of Total" fld="16" baseField="0" baseItem="3" numFmtId="10"/>
  </dataFields>
  <formats count="4">
    <format dxfId="14">
      <pivotArea outline="0" collapsedLevelsAreSubtotals="1" fieldPosition="0">
        <references count="1">
          <reference field="4294967294" count="2" selected="0">
            <x v="3"/>
            <x v="4"/>
          </reference>
        </references>
      </pivotArea>
    </format>
    <format dxfId="15">
      <pivotArea dataOnly="0" labelOnly="1" outline="0" fieldPosition="0">
        <references count="1">
          <reference field="4294967294" count="2">
            <x v="3"/>
            <x v="4"/>
          </reference>
        </references>
      </pivotArea>
    </format>
    <format dxfId="16">
      <pivotArea field="0" type="button" dataOnly="0" labelOnly="1" outline="0" axis="axisRow" fieldPosition="0"/>
    </format>
    <format dxfId="17">
      <pivotArea dataOnly="0" labelOnly="1" fieldPosition="0">
        <references count="1">
          <reference field="0" count="0"/>
        </references>
      </pivotArea>
    </format>
  </formats>
  <pivotTableStyleInfo name="PivotStyleMedium2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D68E12D-3AC6-4649-8CE1-48BC2CE145F7}" name="PivotTable2" cacheId="1"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outline="1" outlineData="1" multipleFieldFilters="0" rowHeaderCaption="Year">
  <location ref="A12:D18" firstHeaderRow="0" firstDataRow="1" firstDataCol="1"/>
  <pivotFields count="4">
    <pivotField axis="axisRow" allDrilled="1" subtotalTop="0" showAll="0" defaultSubtotal="0" defaultAttributeDrillState="1">
      <items count="6">
        <item x="0"/>
        <item x="1"/>
        <item x="2"/>
        <item x="3"/>
        <item x="4"/>
        <item x="5"/>
      </items>
    </pivotField>
    <pivotField dataField="1" subtotalTop="0" showAll="0" defaultSubtotal="0"/>
    <pivotField dataField="1" subtotalTop="0" showAll="0" defaultSubtotal="0"/>
    <pivotField dataField="1" subtotalTop="0" showAll="0" defaultSubtotal="0"/>
  </pivotFields>
  <rowFields count="1">
    <field x="0"/>
  </rowFields>
  <rowItems count="6">
    <i>
      <x/>
    </i>
    <i>
      <x v="1"/>
    </i>
    <i>
      <x v="2"/>
    </i>
    <i>
      <x v="3"/>
    </i>
    <i>
      <x v="4"/>
    </i>
    <i>
      <x v="5"/>
    </i>
  </rowItems>
  <colFields count="1">
    <field x="-2"/>
  </colFields>
  <colItems count="3">
    <i>
      <x/>
    </i>
    <i i="1">
      <x v="1"/>
    </i>
    <i i="2">
      <x v="2"/>
    </i>
  </colItems>
  <dataFields count="3">
    <dataField name="Revenue" fld="1" baseField="0" baseItem="0"/>
    <dataField name="Total Stores" fld="2" baseField="0" baseItem="0"/>
    <dataField name="Revenue per Store" fld="3" baseField="0" baseItem="0"/>
  </dataFields>
  <formats count="25">
    <format dxfId="190">
      <pivotArea dataOnly="0" outline="0" fieldPosition="0">
        <references count="1">
          <reference field="4294967294" count="1">
            <x v="0"/>
          </reference>
        </references>
      </pivotArea>
    </format>
    <format dxfId="189">
      <pivotArea dataOnly="0" outline="0" fieldPosition="0">
        <references count="1">
          <reference field="4294967294" count="1">
            <x v="2"/>
          </reference>
        </references>
      </pivotArea>
    </format>
    <format dxfId="188">
      <pivotArea type="all" dataOnly="0" outline="0" fieldPosition="0"/>
    </format>
    <format dxfId="187">
      <pivotArea outline="0" collapsedLevelsAreSubtotals="1" fieldPosition="0"/>
    </format>
    <format dxfId="186">
      <pivotArea field="0" type="button" dataOnly="0" labelOnly="1" outline="0" axis="axisRow" fieldPosition="0"/>
    </format>
    <format dxfId="185">
      <pivotArea dataOnly="0" labelOnly="1" fieldPosition="0">
        <references count="1">
          <reference field="0" count="0"/>
        </references>
      </pivotArea>
    </format>
    <format dxfId="184">
      <pivotArea dataOnly="0" labelOnly="1" grandRow="1" outline="0" fieldPosition="0"/>
    </format>
    <format dxfId="183">
      <pivotArea dataOnly="0" labelOnly="1" outline="0" fieldPosition="0">
        <references count="1">
          <reference field="4294967294" count="3">
            <x v="0"/>
            <x v="1"/>
            <x v="2"/>
          </reference>
        </references>
      </pivotArea>
    </format>
    <format dxfId="182">
      <pivotArea field="0" type="button" dataOnly="0" labelOnly="1" outline="0" axis="axisRow" fieldPosition="0"/>
    </format>
    <format dxfId="181">
      <pivotArea dataOnly="0" labelOnly="1" fieldPosition="0">
        <references count="1">
          <reference field="0" count="0"/>
        </references>
      </pivotArea>
    </format>
    <format dxfId="180">
      <pivotArea dataOnly="0" outline="0" fieldPosition="0">
        <references count="1">
          <reference field="4294967294" count="3">
            <x v="0"/>
            <x v="1"/>
            <x v="2"/>
          </reference>
        </references>
      </pivotArea>
    </format>
    <format dxfId="179">
      <pivotArea type="all" dataOnly="0" outline="0" fieldPosition="0"/>
    </format>
    <format dxfId="178">
      <pivotArea outline="0" collapsedLevelsAreSubtotals="1" fieldPosition="0"/>
    </format>
    <format dxfId="177">
      <pivotArea field="0" type="button" dataOnly="0" labelOnly="1" outline="0" axis="axisRow" fieldPosition="0"/>
    </format>
    <format dxfId="176">
      <pivotArea dataOnly="0" labelOnly="1" fieldPosition="0">
        <references count="1">
          <reference field="0" count="0"/>
        </references>
      </pivotArea>
    </format>
    <format dxfId="175">
      <pivotArea dataOnly="0" labelOnly="1" outline="0" fieldPosition="0">
        <references count="1">
          <reference field="4294967294" count="3">
            <x v="0"/>
            <x v="1"/>
            <x v="2"/>
          </reference>
        </references>
      </pivotArea>
    </format>
    <format dxfId="174">
      <pivotArea field="0" type="button" dataOnly="0" labelOnly="1" outline="0" axis="axisRow" fieldPosition="0"/>
    </format>
    <format dxfId="173">
      <pivotArea dataOnly="0" labelOnly="1" fieldPosition="0">
        <references count="1">
          <reference field="0" count="0"/>
        </references>
      </pivotArea>
    </format>
    <format dxfId="172">
      <pivotArea outline="0" collapsedLevelsAreSubtotals="1" fieldPosition="0"/>
    </format>
    <format dxfId="171">
      <pivotArea dataOnly="0" labelOnly="1" outline="0" fieldPosition="0">
        <references count="1">
          <reference field="4294967294" count="3">
            <x v="0"/>
            <x v="1"/>
            <x v="2"/>
          </reference>
        </references>
      </pivotArea>
    </format>
    <format dxfId="170">
      <pivotArea type="all" dataOnly="0" outline="0" fieldPosition="0"/>
    </format>
    <format dxfId="169">
      <pivotArea outline="0" collapsedLevelsAreSubtotals="1" fieldPosition="0"/>
    </format>
    <format dxfId="168">
      <pivotArea field="0" type="button" dataOnly="0" labelOnly="1" outline="0" axis="axisRow" fieldPosition="0"/>
    </format>
    <format dxfId="167">
      <pivotArea dataOnly="0" labelOnly="1" fieldPosition="0">
        <references count="1">
          <reference field="0" count="0"/>
        </references>
      </pivotArea>
    </format>
    <format dxfId="166">
      <pivotArea dataOnly="0" labelOnly="1" outline="0" fieldPosition="0">
        <references count="1">
          <reference field="4294967294" count="3">
            <x v="0"/>
            <x v="1"/>
            <x v="2"/>
          </reference>
        </references>
      </pivotArea>
    </format>
  </formats>
  <pivotHierarchies count="2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caption="Revenue"/>
    <pivotHierarchy dragToData="1" caption="Total Stores"/>
    <pivotHierarchy dragToData="1" caption="Revenue per Store"/>
    <pivotHierarchy dragToData="1"/>
    <pivotHierarchy dragToData="1"/>
    <pivotHierarchy dragToData="1"/>
    <pivotHierarchy dragToData="1"/>
    <pivotHierarchy dragToData="1"/>
  </pivotHierarchies>
  <pivotTableStyleInfo name="PivotStyleMedium24"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heet1!$A$1:$O$7">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D23BD44-B61B-41B4-83B8-328143679978}"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21:U23" firstHeaderRow="0" firstDataRow="1" firstDataCol="1"/>
  <pivotFields count="15">
    <pivotField axis="axisRow" showAll="0">
      <items count="7">
        <item h="1" x="0"/>
        <item h="1" x="1"/>
        <item h="1" x="2"/>
        <item h="1" x="3"/>
        <item h="1" x="4"/>
        <item x="5"/>
        <item t="default"/>
      </items>
    </pivotField>
    <pivotField dataField="1" numFmtId="164" showAll="0"/>
    <pivotField dataField="1" showAll="0"/>
    <pivotField dataField="1" numFmtId="164" showAll="0"/>
    <pivotField dataField="1" showAll="0"/>
    <pivotField dataField="1" numFmtId="164" showAll="0"/>
    <pivotField dataField="1" numFmtId="164" showAll="0"/>
    <pivotField dataField="1" numFmtId="165" showAll="0"/>
    <pivotField dataField="1" numFmtId="165" showAll="0"/>
    <pivotField dataField="1" numFmtId="165" showAll="0"/>
    <pivotField dataField="1" numFmtId="1" showAll="0"/>
    <pivotField dataField="1" showAll="0"/>
    <pivotField dataField="1" showAll="0"/>
    <pivotField dataField="1" showAll="0"/>
    <pivotField dataField="1" numFmtId="164" showAll="0"/>
  </pivotFields>
  <rowFields count="1">
    <field x="0"/>
  </rowFields>
  <rowItems count="2">
    <i>
      <x v="5"/>
    </i>
    <i t="grand">
      <x/>
    </i>
  </rowItems>
  <colFields count="1">
    <field x="-2"/>
  </colFields>
  <colItems count="14">
    <i>
      <x/>
    </i>
    <i i="1">
      <x v="1"/>
    </i>
    <i i="2">
      <x v="2"/>
    </i>
    <i i="3">
      <x v="3"/>
    </i>
    <i i="4">
      <x v="4"/>
    </i>
    <i i="5">
      <x v="5"/>
    </i>
    <i i="6">
      <x v="6"/>
    </i>
    <i i="7">
      <x v="7"/>
    </i>
    <i i="8">
      <x v="8"/>
    </i>
    <i i="9">
      <x v="9"/>
    </i>
    <i i="10">
      <x v="10"/>
    </i>
    <i i="11">
      <x v="11"/>
    </i>
    <i i="12">
      <x v="12"/>
    </i>
    <i i="13">
      <x v="13"/>
    </i>
  </colItems>
  <dataFields count="14">
    <dataField name="Sum of Net Income Growth %" fld="4" baseField="0" baseItem="0"/>
    <dataField name="Sum of Revenue" fld="1" baseField="0" baseItem="0" numFmtId="164"/>
    <dataField name="Sum of Revenue Growth %" fld="2" baseField="0" baseItem="0"/>
    <dataField name="Sum of Net Income" fld="3" baseField="0" baseItem="0" numFmtId="164"/>
    <dataField name="Sum of Operating Income" fld="5" baseField="0" baseItem="0" numFmtId="164"/>
    <dataField name="Sum of Operating Expenses" fld="6" baseField="0" baseItem="0" numFmtId="164"/>
    <dataField name="Sum of Operating Margin" fld="7" baseField="0" baseItem="0" numFmtId="165"/>
    <dataField name="Sum of Net Profit Margin" fld="8" baseField="0" baseItem="0" numFmtId="165"/>
    <dataField name="Sum of Expense Ratio" fld="9" baseField="0" baseItem="0" numFmtId="165"/>
    <dataField name="Sum of Total Stores" fld="10" baseField="0" baseItem="0" numFmtId="1"/>
    <dataField name="Sum of Total Store Growth %" fld="11" baseField="0" baseItem="0"/>
    <dataField name="Sum of Company Stores" fld="12" baseField="0" baseItem="0"/>
    <dataField name="Sum of Franchise Stores" fld="13" baseField="0" baseItem="0"/>
    <dataField name="Sum of Revenue per Store" fld="14" baseField="0" baseItem="0" numFmtId="164"/>
  </dataFields>
  <formats count="19">
    <format dxfId="209">
      <pivotArea dataOnly="0" outline="0" fieldPosition="0">
        <references count="1">
          <reference field="4294967294" count="1">
            <x v="0"/>
          </reference>
        </references>
      </pivotArea>
    </format>
    <format dxfId="208">
      <pivotArea dataOnly="0" outline="0" fieldPosition="0">
        <references count="1">
          <reference field="4294967294" count="1">
            <x v="2"/>
          </reference>
        </references>
      </pivotArea>
    </format>
    <format dxfId="207">
      <pivotArea dataOnly="0" outline="0" fieldPosition="0">
        <references count="1">
          <reference field="4294967294" count="1">
            <x v="10"/>
          </reference>
        </references>
      </pivotArea>
    </format>
    <format dxfId="206">
      <pivotArea type="all" dataOnly="0" outline="0" fieldPosition="0"/>
    </format>
    <format dxfId="205">
      <pivotArea outline="0" collapsedLevelsAreSubtotals="1" fieldPosition="0"/>
    </format>
    <format dxfId="204">
      <pivotArea field="0" type="button" dataOnly="0" labelOnly="1" outline="0" axis="axisRow" fieldPosition="0"/>
    </format>
    <format dxfId="203">
      <pivotArea dataOnly="0" labelOnly="1" fieldPosition="0">
        <references count="1">
          <reference field="0" count="0"/>
        </references>
      </pivotArea>
    </format>
    <format dxfId="202">
      <pivotArea dataOnly="0" labelOnly="1" grandRow="1" outline="0" fieldPosition="0"/>
    </format>
    <format dxfId="201">
      <pivotArea dataOnly="0" labelOnly="1" outline="0" fieldPosition="0">
        <references count="1">
          <reference field="4294967294" count="14">
            <x v="0"/>
            <x v="1"/>
            <x v="2"/>
            <x v="3"/>
            <x v="4"/>
            <x v="5"/>
            <x v="6"/>
            <x v="7"/>
            <x v="8"/>
            <x v="9"/>
            <x v="10"/>
            <x v="11"/>
            <x v="12"/>
            <x v="13"/>
          </reference>
        </references>
      </pivotArea>
    </format>
    <format dxfId="200">
      <pivotArea outline="0" collapsedLevelsAreSubtotals="1" fieldPosition="0">
        <references count="1">
          <reference field="4294967294" count="12" selected="0">
            <x v="2"/>
            <x v="3"/>
            <x v="4"/>
            <x v="5"/>
            <x v="6"/>
            <x v="7"/>
            <x v="8"/>
            <x v="9"/>
            <x v="10"/>
            <x v="11"/>
            <x v="12"/>
            <x v="13"/>
          </reference>
        </references>
      </pivotArea>
    </format>
    <format dxfId="199">
      <pivotArea dataOnly="0" labelOnly="1" outline="0" fieldPosition="0">
        <references count="1">
          <reference field="4294967294" count="12">
            <x v="2"/>
            <x v="3"/>
            <x v="4"/>
            <x v="5"/>
            <x v="6"/>
            <x v="7"/>
            <x v="8"/>
            <x v="9"/>
            <x v="10"/>
            <x v="11"/>
            <x v="12"/>
            <x v="13"/>
          </reference>
        </references>
      </pivotArea>
    </format>
    <format dxfId="198">
      <pivotArea dataOnly="0" outline="0" fieldPosition="0">
        <references count="1">
          <reference field="4294967294" count="1">
            <x v="1"/>
          </reference>
        </references>
      </pivotArea>
    </format>
    <format dxfId="197">
      <pivotArea dataOnly="0" outline="0" fieldPosition="0">
        <references count="1">
          <reference field="4294967294" count="1">
            <x v="3"/>
          </reference>
        </references>
      </pivotArea>
    </format>
    <format dxfId="196">
      <pivotArea dataOnly="0" outline="0" fieldPosition="0">
        <references count="1">
          <reference field="4294967294" count="1">
            <x v="4"/>
          </reference>
        </references>
      </pivotArea>
    </format>
    <format dxfId="195">
      <pivotArea dataOnly="0" outline="0" fieldPosition="0">
        <references count="1">
          <reference field="4294967294" count="1">
            <x v="5"/>
          </reference>
        </references>
      </pivotArea>
    </format>
    <format dxfId="194">
      <pivotArea dataOnly="0" outline="0" fieldPosition="0">
        <references count="1">
          <reference field="4294967294" count="1">
            <x v="9"/>
          </reference>
        </references>
      </pivotArea>
    </format>
    <format dxfId="193">
      <pivotArea dataOnly="0" outline="0" fieldPosition="0">
        <references count="1">
          <reference field="4294967294" count="1">
            <x v="11"/>
          </reference>
        </references>
      </pivotArea>
    </format>
    <format dxfId="192">
      <pivotArea dataOnly="0" outline="0" fieldPosition="0">
        <references count="1">
          <reference field="4294967294" count="1">
            <x v="12"/>
          </reference>
        </references>
      </pivotArea>
    </format>
    <format dxfId="191">
      <pivotArea dataOnly="0" outline="0" fieldPosition="0">
        <references count="1">
          <reference field="4294967294" count="1">
            <x v="1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4ACDDA4-363E-4CDA-AA61-11D6E51B109A}"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Year">
  <location ref="G12:J18" firstHeaderRow="0" firstDataRow="1" firstDataCol="1"/>
  <pivotFields count="15">
    <pivotField axis="axisRow" showAll="0">
      <items count="7">
        <item x="0"/>
        <item x="1"/>
        <item x="2"/>
        <item x="3"/>
        <item x="4"/>
        <item x="5"/>
        <item t="default"/>
      </items>
    </pivotField>
    <pivotField numFmtId="164" showAll="0"/>
    <pivotField dataField="1" showAll="0"/>
    <pivotField numFmtId="164" showAll="0"/>
    <pivotField dataField="1" showAll="0"/>
    <pivotField numFmtId="164" showAll="0"/>
    <pivotField numFmtId="164" showAll="0"/>
    <pivotField numFmtId="165" showAll="0"/>
    <pivotField numFmtId="165" showAll="0"/>
    <pivotField numFmtId="165" showAll="0"/>
    <pivotField numFmtId="1" showAll="0"/>
    <pivotField dataField="1" showAll="0"/>
    <pivotField showAll="0"/>
    <pivotField showAll="0"/>
    <pivotField numFmtId="164" showAll="0"/>
  </pivotFields>
  <rowFields count="1">
    <field x="0"/>
  </rowFields>
  <rowItems count="6">
    <i>
      <x/>
    </i>
    <i>
      <x v="1"/>
    </i>
    <i>
      <x v="2"/>
    </i>
    <i>
      <x v="3"/>
    </i>
    <i>
      <x v="4"/>
    </i>
    <i>
      <x v="5"/>
    </i>
  </rowItems>
  <colFields count="1">
    <field x="-2"/>
  </colFields>
  <colItems count="3">
    <i>
      <x/>
    </i>
    <i i="1">
      <x v="1"/>
    </i>
    <i i="2">
      <x v="2"/>
    </i>
  </colItems>
  <dataFields count="3">
    <dataField name=" Total Store Growth %" fld="11" baseField="0" baseItem="0"/>
    <dataField name=" Revenue Growth %" fld="2" baseField="0" baseItem="0"/>
    <dataField name=" Net Income Growth %" fld="4" baseField="0" baseItem="0"/>
  </dataFields>
  <formats count="12">
    <format dxfId="221">
      <pivotArea type="all" dataOnly="0" outline="0" fieldPosition="0"/>
    </format>
    <format dxfId="220">
      <pivotArea outline="0" collapsedLevelsAreSubtotals="1" fieldPosition="0"/>
    </format>
    <format dxfId="219">
      <pivotArea field="0" type="button" dataOnly="0" labelOnly="1" outline="0" axis="axisRow" fieldPosition="0"/>
    </format>
    <format dxfId="218">
      <pivotArea dataOnly="0" labelOnly="1" fieldPosition="0">
        <references count="1">
          <reference field="0" count="0"/>
        </references>
      </pivotArea>
    </format>
    <format dxfId="217">
      <pivotArea dataOnly="0" labelOnly="1" outline="0" fieldPosition="0">
        <references count="1">
          <reference field="4294967294" count="2">
            <x v="0"/>
            <x v="1"/>
          </reference>
        </references>
      </pivotArea>
    </format>
    <format dxfId="216">
      <pivotArea type="all" dataOnly="0" outline="0" fieldPosition="0"/>
    </format>
    <format dxfId="215">
      <pivotArea outline="0" collapsedLevelsAreSubtotals="1" fieldPosition="0"/>
    </format>
    <format dxfId="214">
      <pivotArea field="0" type="button" dataOnly="0" labelOnly="1" outline="0" axis="axisRow" fieldPosition="0"/>
    </format>
    <format dxfId="213">
      <pivotArea dataOnly="0" labelOnly="1" fieldPosition="0">
        <references count="1">
          <reference field="0" count="0"/>
        </references>
      </pivotArea>
    </format>
    <format dxfId="212">
      <pivotArea dataOnly="0" labelOnly="1" outline="0" fieldPosition="0">
        <references count="1">
          <reference field="4294967294" count="3">
            <x v="0"/>
            <x v="1"/>
            <x v="2"/>
          </reference>
        </references>
      </pivotArea>
    </format>
    <format dxfId="211">
      <pivotArea dataOnly="0" outline="0" fieldPosition="0">
        <references count="1">
          <reference field="4294967294" count="1">
            <x v="2"/>
          </reference>
        </references>
      </pivotArea>
    </format>
    <format dxfId="210">
      <pivotArea dataOnly="0" outline="0" fieldPosition="0">
        <references count="1">
          <reference field="4294967294" count="2">
            <x v="0"/>
            <x v="1"/>
          </reference>
        </references>
      </pivotArea>
    </format>
  </formats>
  <pivotTableStyleInfo name="PivotStyleMedium2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1B035A5-2EE2-4187-A653-C4B74F8BA244}" name="PivotTable4" cacheId="3"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outline="1" outlineData="1" multipleFieldFilters="0" rowHeaderCaption="Year">
  <location ref="G3:J9" firstHeaderRow="0" firstDataRow="1" firstDataCol="1"/>
  <pivotFields count="4">
    <pivotField axis="axisRow" allDrilled="1" subtotalTop="0" showAll="0" dataSourceSort="1" defaultSubtotal="0" defaultAttributeDrillState="1">
      <items count="6">
        <item x="0"/>
        <item x="1"/>
        <item x="2"/>
        <item x="3"/>
        <item x="4"/>
        <item x="5"/>
      </items>
    </pivotField>
    <pivotField dataField="1" subtotalTop="0" showAll="0" defaultSubtotal="0"/>
    <pivotField dataField="1" subtotalTop="0" showAll="0" defaultSubtotal="0"/>
    <pivotField dataField="1" subtotalTop="0" showAll="0" defaultSubtotal="0"/>
  </pivotFields>
  <rowFields count="1">
    <field x="0"/>
  </rowFields>
  <rowItems count="6">
    <i>
      <x/>
    </i>
    <i>
      <x v="1"/>
    </i>
    <i>
      <x v="2"/>
    </i>
    <i>
      <x v="3"/>
    </i>
    <i>
      <x v="4"/>
    </i>
    <i>
      <x v="5"/>
    </i>
  </rowItems>
  <colFields count="1">
    <field x="-2"/>
  </colFields>
  <colItems count="3">
    <i>
      <x/>
    </i>
    <i i="1">
      <x v="1"/>
    </i>
    <i i="2">
      <x v="2"/>
    </i>
  </colItems>
  <dataFields count="3">
    <dataField name="Operating Expenses" fld="1" baseField="0" baseItem="0" numFmtId="164"/>
    <dataField name="Revenue" fld="2" baseField="0" baseItem="0" numFmtId="164"/>
    <dataField name="Expense Ratio" fld="3" baseField="0" baseItem="0" numFmtId="165"/>
  </dataFields>
  <formats count="31">
    <format dxfId="252">
      <pivotArea outline="0" collapsedLevelsAreSubtotals="1" fieldPosition="0">
        <references count="1">
          <reference field="4294967294" count="1" selected="0">
            <x v="2"/>
          </reference>
        </references>
      </pivotArea>
    </format>
    <format dxfId="251">
      <pivotArea dataOnly="0" labelOnly="1" outline="0" fieldPosition="0">
        <references count="1">
          <reference field="4294967294" count="1">
            <x v="2"/>
          </reference>
        </references>
      </pivotArea>
    </format>
    <format dxfId="250">
      <pivotArea type="all" dataOnly="0" outline="0" fieldPosition="0"/>
    </format>
    <format dxfId="249">
      <pivotArea outline="0" collapsedLevelsAreSubtotals="1" fieldPosition="0"/>
    </format>
    <format dxfId="248">
      <pivotArea field="0" type="button" dataOnly="0" labelOnly="1" outline="0" axis="axisRow" fieldPosition="0"/>
    </format>
    <format dxfId="247">
      <pivotArea dataOnly="0" labelOnly="1" fieldPosition="0">
        <references count="1">
          <reference field="0" count="0"/>
        </references>
      </pivotArea>
    </format>
    <format dxfId="246">
      <pivotArea dataOnly="0" labelOnly="1" grandRow="1" outline="0" fieldPosition="0"/>
    </format>
    <format dxfId="245">
      <pivotArea dataOnly="0" labelOnly="1" outline="0" fieldPosition="0">
        <references count="1">
          <reference field="4294967294" count="3">
            <x v="0"/>
            <x v="1"/>
            <x v="2"/>
          </reference>
        </references>
      </pivotArea>
    </format>
    <format dxfId="244">
      <pivotArea outline="0" collapsedLevelsAreSubtotals="1" fieldPosition="0">
        <references count="1">
          <reference field="4294967294" count="2" selected="0">
            <x v="0"/>
            <x v="1"/>
          </reference>
        </references>
      </pivotArea>
    </format>
    <format dxfId="243">
      <pivotArea dataOnly="0" labelOnly="1" outline="0" fieldPosition="0">
        <references count="1">
          <reference field="4294967294" count="2">
            <x v="0"/>
            <x v="1"/>
          </reference>
        </references>
      </pivotArea>
    </format>
    <format dxfId="242">
      <pivotArea field="0" type="button" dataOnly="0" labelOnly="1" outline="0" axis="axisRow" fieldPosition="0"/>
    </format>
    <format dxfId="241">
      <pivotArea dataOnly="0" labelOnly="1" fieldPosition="0">
        <references count="1">
          <reference field="0" count="0"/>
        </references>
      </pivotArea>
    </format>
    <format dxfId="240">
      <pivotArea outline="0" collapsedLevelsAreSubtotals="1" fieldPosition="0"/>
    </format>
    <format dxfId="239">
      <pivotArea dataOnly="0" labelOnly="1" outline="0" fieldPosition="0">
        <references count="1">
          <reference field="4294967294" count="3">
            <x v="0"/>
            <x v="1"/>
            <x v="2"/>
          </reference>
        </references>
      </pivotArea>
    </format>
    <format dxfId="238">
      <pivotArea outline="0" collapsedLevelsAreSubtotals="1" fieldPosition="0"/>
    </format>
    <format dxfId="237">
      <pivotArea dataOnly="0" labelOnly="1" outline="0" fieldPosition="0">
        <references count="1">
          <reference field="4294967294" count="3">
            <x v="0"/>
            <x v="1"/>
            <x v="2"/>
          </reference>
        </references>
      </pivotArea>
    </format>
    <format dxfId="236">
      <pivotArea type="all" dataOnly="0" outline="0" fieldPosition="0"/>
    </format>
    <format dxfId="235">
      <pivotArea outline="0" collapsedLevelsAreSubtotals="1" fieldPosition="0"/>
    </format>
    <format dxfId="234">
      <pivotArea field="0" type="button" dataOnly="0" labelOnly="1" outline="0" axis="axisRow" fieldPosition="0"/>
    </format>
    <format dxfId="233">
      <pivotArea dataOnly="0" labelOnly="1" fieldPosition="0">
        <references count="1">
          <reference field="0" count="0"/>
        </references>
      </pivotArea>
    </format>
    <format dxfId="232">
      <pivotArea dataOnly="0" labelOnly="1" outline="0" fieldPosition="0">
        <references count="1">
          <reference field="4294967294" count="3">
            <x v="0"/>
            <x v="1"/>
            <x v="2"/>
          </reference>
        </references>
      </pivotArea>
    </format>
    <format dxfId="231">
      <pivotArea type="all" dataOnly="0" outline="0" fieldPosition="0"/>
    </format>
    <format dxfId="230">
      <pivotArea outline="0" collapsedLevelsAreSubtotals="1" fieldPosition="0"/>
    </format>
    <format dxfId="229">
      <pivotArea field="0" type="button" dataOnly="0" labelOnly="1" outline="0" axis="axisRow" fieldPosition="0"/>
    </format>
    <format dxfId="228">
      <pivotArea dataOnly="0" labelOnly="1" fieldPosition="0">
        <references count="1">
          <reference field="0" count="0"/>
        </references>
      </pivotArea>
    </format>
    <format dxfId="227">
      <pivotArea dataOnly="0" labelOnly="1" outline="0" fieldPosition="0">
        <references count="1">
          <reference field="4294967294" count="3">
            <x v="0"/>
            <x v="1"/>
            <x v="2"/>
          </reference>
        </references>
      </pivotArea>
    </format>
    <format dxfId="226">
      <pivotArea type="all" dataOnly="0" outline="0" fieldPosition="0"/>
    </format>
    <format dxfId="225">
      <pivotArea outline="0" collapsedLevelsAreSubtotals="1" fieldPosition="0"/>
    </format>
    <format dxfId="224">
      <pivotArea field="0" type="button" dataOnly="0" labelOnly="1" outline="0" axis="axisRow" fieldPosition="0"/>
    </format>
    <format dxfId="223">
      <pivotArea dataOnly="0" labelOnly="1" fieldPosition="0">
        <references count="1">
          <reference field="0" count="0"/>
        </references>
      </pivotArea>
    </format>
    <format dxfId="222">
      <pivotArea dataOnly="0" labelOnly="1" outline="0" fieldPosition="0">
        <references count="1">
          <reference field="4294967294" count="3">
            <x v="0"/>
            <x v="1"/>
            <x v="2"/>
          </reference>
        </references>
      </pivotArea>
    </format>
  </formats>
  <pivotHierarchies count="2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caption="Revenue"/>
    <pivotHierarchy dragToData="1"/>
    <pivotHierarchy dragToData="1"/>
    <pivotHierarchy dragToData="1" caption="Operating Expenses"/>
    <pivotHierarchy dragToData="1" caption="Expense Ratio"/>
    <pivotHierarchy dragToData="1"/>
    <pivotHierarchy dragToData="1"/>
    <pivotHierarchy dragToData="1"/>
  </pivotHierarchies>
  <pivotTableStyleInfo name="PivotStyleMedium23"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heet1!$A$1:$O$7">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6603A6D-C1C2-4925-A67D-BB6D16FA2DDA}"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Year">
  <location ref="A21:C27" firstHeaderRow="0" firstDataRow="1" firstDataCol="1"/>
  <pivotFields count="15">
    <pivotField axis="axisRow" showAll="0">
      <items count="7">
        <item x="0"/>
        <item x="1"/>
        <item x="2"/>
        <item x="3"/>
        <item x="4"/>
        <item x="5"/>
        <item t="default"/>
      </items>
    </pivotField>
    <pivotField numFmtId="164" showAll="0"/>
    <pivotField showAll="0"/>
    <pivotField numFmtId="164" showAll="0"/>
    <pivotField showAll="0"/>
    <pivotField numFmtId="164" showAll="0"/>
    <pivotField numFmtId="164" showAll="0"/>
    <pivotField dataField="1" numFmtId="165" showAll="0"/>
    <pivotField dataField="1" numFmtId="165" showAll="0"/>
    <pivotField numFmtId="165" showAll="0"/>
    <pivotField numFmtId="1" showAll="0"/>
    <pivotField showAll="0"/>
    <pivotField showAll="0"/>
    <pivotField showAll="0"/>
    <pivotField numFmtId="164" showAll="0"/>
  </pivotFields>
  <rowFields count="1">
    <field x="0"/>
  </rowFields>
  <rowItems count="6">
    <i>
      <x/>
    </i>
    <i>
      <x v="1"/>
    </i>
    <i>
      <x v="2"/>
    </i>
    <i>
      <x v="3"/>
    </i>
    <i>
      <x v="4"/>
    </i>
    <i>
      <x v="5"/>
    </i>
  </rowItems>
  <colFields count="1">
    <field x="-2"/>
  </colFields>
  <colItems count="2">
    <i>
      <x/>
    </i>
    <i i="1">
      <x v="1"/>
    </i>
  </colItems>
  <dataFields count="2">
    <dataField name=" Operating Margin" fld="7" baseField="0" baseItem="0" numFmtId="165"/>
    <dataField name=" Net Profit Margin" fld="8" baseField="0" baseItem="0" numFmtId="165"/>
  </dataFields>
  <formats count="16">
    <format dxfId="268">
      <pivotArea type="all" dataOnly="0" outline="0" fieldPosition="0"/>
    </format>
    <format dxfId="267">
      <pivotArea outline="0" collapsedLevelsAreSubtotals="1" fieldPosition="0"/>
    </format>
    <format dxfId="266">
      <pivotArea field="0" type="button" dataOnly="0" labelOnly="1" outline="0" axis="axisRow" fieldPosition="0"/>
    </format>
    <format dxfId="265">
      <pivotArea dataOnly="0" labelOnly="1" fieldPosition="0">
        <references count="1">
          <reference field="0" count="0"/>
        </references>
      </pivotArea>
    </format>
    <format dxfId="264">
      <pivotArea dataOnly="0" labelOnly="1" outline="0" fieldPosition="0">
        <references count="1">
          <reference field="4294967294" count="2">
            <x v="0"/>
            <x v="1"/>
          </reference>
        </references>
      </pivotArea>
    </format>
    <format dxfId="263">
      <pivotArea field="0" type="button" dataOnly="0" labelOnly="1" outline="0" axis="axisRow" fieldPosition="0"/>
    </format>
    <format dxfId="262">
      <pivotArea dataOnly="0" labelOnly="1" fieldPosition="0">
        <references count="1">
          <reference field="0" count="0"/>
        </references>
      </pivotArea>
    </format>
    <format dxfId="261">
      <pivotArea field="0" type="button" dataOnly="0" labelOnly="1" outline="0" axis="axisRow" fieldPosition="0"/>
    </format>
    <format dxfId="260">
      <pivotArea dataOnly="0" labelOnly="1" fieldPosition="0">
        <references count="1">
          <reference field="0" count="0"/>
        </references>
      </pivotArea>
    </format>
    <format dxfId="259">
      <pivotArea outline="0" collapsedLevelsAreSubtotals="1" fieldPosition="0"/>
    </format>
    <format dxfId="258">
      <pivotArea dataOnly="0" labelOnly="1" outline="0" fieldPosition="0">
        <references count="1">
          <reference field="4294967294" count="2">
            <x v="0"/>
            <x v="1"/>
          </reference>
        </references>
      </pivotArea>
    </format>
    <format dxfId="257">
      <pivotArea type="all" dataOnly="0" outline="0" fieldPosition="0"/>
    </format>
    <format dxfId="256">
      <pivotArea outline="0" collapsedLevelsAreSubtotals="1" fieldPosition="0"/>
    </format>
    <format dxfId="255">
      <pivotArea field="0" type="button" dataOnly="0" labelOnly="1" outline="0" axis="axisRow" fieldPosition="0"/>
    </format>
    <format dxfId="254">
      <pivotArea dataOnly="0" labelOnly="1" fieldPosition="0">
        <references count="1">
          <reference field="0" count="0"/>
        </references>
      </pivotArea>
    </format>
    <format dxfId="253">
      <pivotArea dataOnly="0" labelOnly="1" outline="0" fieldPosition="0">
        <references count="1">
          <reference field="4294967294" count="2">
            <x v="0"/>
            <x v="1"/>
          </reference>
        </references>
      </pivotArea>
    </format>
  </formats>
  <pivotTableStyleInfo name="PivotStyleMedium2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FCAA082-821C-42A0-BC14-CEEE95F537CA}" name="PivotTable1" cacheId="2"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outline="1" outlineData="1" multipleFieldFilters="0" rowHeaderCaption="Year">
  <location ref="A3:C9" firstHeaderRow="0" firstDataRow="1" firstDataCol="1"/>
  <pivotFields count="3">
    <pivotField axis="axisRow" allDrilled="1" subtotalTop="0" showAll="0" dataSourceSort="1" defaultSubtotal="0" defaultAttributeDrillState="1">
      <items count="6">
        <item x="0"/>
        <item x="1"/>
        <item x="2"/>
        <item x="3"/>
        <item x="4"/>
        <item x="5"/>
      </items>
    </pivotField>
    <pivotField dataField="1" subtotalTop="0" showAll="0" defaultSubtotal="0"/>
    <pivotField dataField="1" subtotalTop="0" showAll="0" defaultSubtotal="0"/>
  </pivotFields>
  <rowFields count="1">
    <field x="0"/>
  </rowFields>
  <rowItems count="6">
    <i>
      <x/>
    </i>
    <i>
      <x v="1"/>
    </i>
    <i>
      <x v="2"/>
    </i>
    <i>
      <x v="3"/>
    </i>
    <i>
      <x v="4"/>
    </i>
    <i>
      <x v="5"/>
    </i>
  </rowItems>
  <colFields count="1">
    <field x="-2"/>
  </colFields>
  <colItems count="2">
    <i>
      <x/>
    </i>
    <i i="1">
      <x v="1"/>
    </i>
  </colItems>
  <dataFields count="2">
    <dataField name="Revenue" fld="1" baseField="0" baseItem="0"/>
    <dataField name="Total Stores" fld="2" baseField="0" baseItem="0"/>
  </dataFields>
  <formats count="7">
    <format dxfId="275">
      <pivotArea dataOnly="0" outline="0" fieldPosition="0">
        <references count="1">
          <reference field="4294967294" count="1">
            <x v="0"/>
          </reference>
        </references>
      </pivotArea>
    </format>
    <format dxfId="274">
      <pivotArea type="all" dataOnly="0" outline="0" fieldPosition="0"/>
    </format>
    <format dxfId="273">
      <pivotArea outline="0" collapsedLevelsAreSubtotals="1" fieldPosition="0"/>
    </format>
    <format dxfId="272">
      <pivotArea field="0" type="button" dataOnly="0" labelOnly="1" outline="0" axis="axisRow" fieldPosition="0"/>
    </format>
    <format dxfId="271">
      <pivotArea dataOnly="0" labelOnly="1" fieldPosition="0">
        <references count="1">
          <reference field="0" count="0"/>
        </references>
      </pivotArea>
    </format>
    <format dxfId="270">
      <pivotArea dataOnly="0" labelOnly="1" outline="0" fieldPosition="0">
        <references count="1">
          <reference field="4294967294" count="2">
            <x v="0"/>
            <x v="1"/>
          </reference>
        </references>
      </pivotArea>
    </format>
    <format dxfId="269">
      <pivotArea dataOnly="0" labelOnly="1" fieldPosition="0">
        <references count="1">
          <reference field="0" count="1">
            <x v="0"/>
          </reference>
        </references>
      </pivotArea>
    </format>
  </formats>
  <pivotHierarchies count="2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caption="Revenue"/>
    <pivotHierarchy dragToData="1" caption="Total Stores"/>
    <pivotHierarchy dragToData="1"/>
    <pivotHierarchy dragToData="1"/>
    <pivotHierarchy dragToData="1"/>
    <pivotHierarchy dragToData="1"/>
    <pivotHierarchy dragToData="1"/>
    <pivotHierarchy dragToData="1"/>
  </pivotHierarchies>
  <pivotTableStyleInfo name="PivotStyleMedium23"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heet1!$A$1:$O$7">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47DE223B-502E-404C-9394-B64B97AB8687}" name="Expansion vs Profit"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Year">
  <location ref="A3:D9" firstHeaderRow="0" firstDataRow="1" firstDataCol="1"/>
  <pivotFields count="15">
    <pivotField axis="axisRow" showAll="0">
      <items count="7">
        <item x="0"/>
        <item x="1"/>
        <item x="2"/>
        <item x="3"/>
        <item x="4"/>
        <item x="5"/>
        <item t="default"/>
      </items>
    </pivotField>
    <pivotField numFmtId="164" showAll="0"/>
    <pivotField dataField="1" showAll="0"/>
    <pivotField numFmtId="164" showAll="0"/>
    <pivotField dataField="1" showAll="0"/>
    <pivotField numFmtId="164" showAll="0"/>
    <pivotField numFmtId="164" showAll="0"/>
    <pivotField numFmtId="165" showAll="0"/>
    <pivotField numFmtId="165" showAll="0"/>
    <pivotField numFmtId="165" showAll="0"/>
    <pivotField numFmtId="1" showAll="0"/>
    <pivotField dataField="1" showAll="0"/>
    <pivotField showAll="0"/>
    <pivotField showAll="0"/>
    <pivotField numFmtId="164" showAll="0"/>
  </pivotFields>
  <rowFields count="1">
    <field x="0"/>
  </rowFields>
  <rowItems count="6">
    <i>
      <x/>
    </i>
    <i>
      <x v="1"/>
    </i>
    <i>
      <x v="2"/>
    </i>
    <i>
      <x v="3"/>
    </i>
    <i>
      <x v="4"/>
    </i>
    <i>
      <x v="5"/>
    </i>
  </rowItems>
  <colFields count="1">
    <field x="-2"/>
  </colFields>
  <colItems count="3">
    <i>
      <x/>
    </i>
    <i i="1">
      <x v="1"/>
    </i>
    <i i="2">
      <x v="2"/>
    </i>
  </colItems>
  <dataFields count="3">
    <dataField name=" Total Store Growth %" fld="11" baseField="0" baseItem="0"/>
    <dataField name=" Revenue Growth %" fld="2" baseField="0" baseItem="0"/>
    <dataField name=" Net Income Growth %" fld="4" baseField="0" baseItem="0" numFmtId="165"/>
  </dataFields>
  <formats count="8">
    <format dxfId="165">
      <pivotArea type="all" dataOnly="0" outline="0" fieldPosition="0"/>
    </format>
    <format dxfId="164">
      <pivotArea outline="0" collapsedLevelsAreSubtotals="1" fieldPosition="0"/>
    </format>
    <format dxfId="163">
      <pivotArea field="0" type="button" dataOnly="0" labelOnly="1" outline="0" axis="axisRow" fieldPosition="0"/>
    </format>
    <format dxfId="162">
      <pivotArea dataOnly="0" labelOnly="1" fieldPosition="0">
        <references count="1">
          <reference field="0" count="0"/>
        </references>
      </pivotArea>
    </format>
    <format dxfId="161">
      <pivotArea dataOnly="0" labelOnly="1" outline="0" fieldPosition="0">
        <references count="1">
          <reference field="4294967294" count="2">
            <x v="0"/>
            <x v="1"/>
          </reference>
        </references>
      </pivotArea>
    </format>
    <format dxfId="160">
      <pivotArea outline="0" collapsedLevelsAreSubtotals="1" fieldPosition="0">
        <references count="1">
          <reference field="4294967294" count="1" selected="0">
            <x v="2"/>
          </reference>
        </references>
      </pivotArea>
    </format>
    <format dxfId="159">
      <pivotArea dataOnly="0" outline="0" fieldPosition="0">
        <references count="1">
          <reference field="4294967294" count="1">
            <x v="2"/>
          </reference>
        </references>
      </pivotArea>
    </format>
    <format dxfId="158">
      <pivotArea dataOnly="0" outline="0" fieldPosition="0">
        <references count="1">
          <reference field="4294967294" count="2">
            <x v="0"/>
            <x v="1"/>
          </reference>
        </references>
      </pivotArea>
    </format>
  </formats>
  <pivotTableStyleInfo name="PivotStyleMedium2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64394BAB-11D2-4122-B24A-E70777764C76}" name="PivotTable5" cacheId="4"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outline="1" outlineData="1" multipleFieldFilters="0" rowHeaderCaption="Year">
  <location ref="A3:D9" firstHeaderRow="0" firstDataRow="1" firstDataCol="1"/>
  <pivotFields count="4">
    <pivotField axis="axisRow" allDrilled="1" subtotalTop="0" showAll="0" dataSourceSort="1" defaultSubtotal="0" defaultAttributeDrillState="1">
      <items count="6">
        <item x="0"/>
        <item x="1"/>
        <item x="2"/>
        <item x="3"/>
        <item x="4"/>
        <item x="5"/>
      </items>
    </pivotField>
    <pivotField dataField="1" subtotalTop="0" showAll="0" defaultSubtotal="0"/>
    <pivotField dataField="1" subtotalTop="0" showAll="0" defaultSubtotal="0"/>
    <pivotField dataField="1" subtotalTop="0" showAll="0" defaultSubtotal="0"/>
  </pivotFields>
  <rowFields count="1">
    <field x="0"/>
  </rowFields>
  <rowItems count="6">
    <i>
      <x/>
    </i>
    <i>
      <x v="1"/>
    </i>
    <i>
      <x v="2"/>
    </i>
    <i>
      <x v="3"/>
    </i>
    <i>
      <x v="4"/>
    </i>
    <i>
      <x v="5"/>
    </i>
  </rowItems>
  <colFields count="1">
    <field x="-2"/>
  </colFields>
  <colItems count="3">
    <i>
      <x/>
    </i>
    <i i="1">
      <x v="1"/>
    </i>
    <i i="2">
      <x v="2"/>
    </i>
  </colItems>
  <dataFields count="3">
    <dataField name="Operating Expenses" fld="1" baseField="0" baseItem="0" numFmtId="164"/>
    <dataField name="Revenue" fld="2" baseField="0" baseItem="0" numFmtId="164"/>
    <dataField name="Expense Ratio" fld="3" baseField="0" baseItem="0" numFmtId="165"/>
  </dataFields>
  <formats count="31">
    <format dxfId="157">
      <pivotArea outline="0" collapsedLevelsAreSubtotals="1" fieldPosition="0">
        <references count="1">
          <reference field="4294967294" count="1" selected="0">
            <x v="2"/>
          </reference>
        </references>
      </pivotArea>
    </format>
    <format dxfId="156">
      <pivotArea dataOnly="0" labelOnly="1" outline="0" fieldPosition="0">
        <references count="1">
          <reference field="4294967294" count="1">
            <x v="2"/>
          </reference>
        </references>
      </pivotArea>
    </format>
    <format dxfId="155">
      <pivotArea type="all" dataOnly="0" outline="0" fieldPosition="0"/>
    </format>
    <format dxfId="154">
      <pivotArea outline="0" collapsedLevelsAreSubtotals="1" fieldPosition="0"/>
    </format>
    <format dxfId="153">
      <pivotArea field="0" type="button" dataOnly="0" labelOnly="1" outline="0" axis="axisRow" fieldPosition="0"/>
    </format>
    <format dxfId="152">
      <pivotArea dataOnly="0" labelOnly="1" fieldPosition="0">
        <references count="1">
          <reference field="0" count="0"/>
        </references>
      </pivotArea>
    </format>
    <format dxfId="151">
      <pivotArea dataOnly="0" labelOnly="1" grandRow="1" outline="0" fieldPosition="0"/>
    </format>
    <format dxfId="150">
      <pivotArea dataOnly="0" labelOnly="1" outline="0" fieldPosition="0">
        <references count="1">
          <reference field="4294967294" count="3">
            <x v="0"/>
            <x v="1"/>
            <x v="2"/>
          </reference>
        </references>
      </pivotArea>
    </format>
    <format dxfId="149">
      <pivotArea outline="0" collapsedLevelsAreSubtotals="1" fieldPosition="0">
        <references count="1">
          <reference field="4294967294" count="2" selected="0">
            <x v="0"/>
            <x v="1"/>
          </reference>
        </references>
      </pivotArea>
    </format>
    <format dxfId="148">
      <pivotArea dataOnly="0" labelOnly="1" outline="0" fieldPosition="0">
        <references count="1">
          <reference field="4294967294" count="2">
            <x v="0"/>
            <x v="1"/>
          </reference>
        </references>
      </pivotArea>
    </format>
    <format dxfId="147">
      <pivotArea field="0" type="button" dataOnly="0" labelOnly="1" outline="0" axis="axisRow" fieldPosition="0"/>
    </format>
    <format dxfId="146">
      <pivotArea dataOnly="0" labelOnly="1" fieldPosition="0">
        <references count="1">
          <reference field="0" count="0"/>
        </references>
      </pivotArea>
    </format>
    <format dxfId="145">
      <pivotArea outline="0" collapsedLevelsAreSubtotals="1" fieldPosition="0"/>
    </format>
    <format dxfId="144">
      <pivotArea dataOnly="0" labelOnly="1" outline="0" fieldPosition="0">
        <references count="1">
          <reference field="4294967294" count="3">
            <x v="0"/>
            <x v="1"/>
            <x v="2"/>
          </reference>
        </references>
      </pivotArea>
    </format>
    <format dxfId="143">
      <pivotArea outline="0" collapsedLevelsAreSubtotals="1" fieldPosition="0"/>
    </format>
    <format dxfId="142">
      <pivotArea dataOnly="0" labelOnly="1" outline="0" fieldPosition="0">
        <references count="1">
          <reference field="4294967294" count="3">
            <x v="0"/>
            <x v="1"/>
            <x v="2"/>
          </reference>
        </references>
      </pivotArea>
    </format>
    <format dxfId="141">
      <pivotArea type="all" dataOnly="0" outline="0" fieldPosition="0"/>
    </format>
    <format dxfId="140">
      <pivotArea outline="0" collapsedLevelsAreSubtotals="1" fieldPosition="0"/>
    </format>
    <format dxfId="139">
      <pivotArea field="0" type="button" dataOnly="0" labelOnly="1" outline="0" axis="axisRow" fieldPosition="0"/>
    </format>
    <format dxfId="138">
      <pivotArea dataOnly="0" labelOnly="1" fieldPosition="0">
        <references count="1">
          <reference field="0" count="0"/>
        </references>
      </pivotArea>
    </format>
    <format dxfId="137">
      <pivotArea dataOnly="0" labelOnly="1" outline="0" fieldPosition="0">
        <references count="1">
          <reference field="4294967294" count="3">
            <x v="0"/>
            <x v="1"/>
            <x v="2"/>
          </reference>
        </references>
      </pivotArea>
    </format>
    <format dxfId="136">
      <pivotArea type="all" dataOnly="0" outline="0" fieldPosition="0"/>
    </format>
    <format dxfId="135">
      <pivotArea outline="0" collapsedLevelsAreSubtotals="1" fieldPosition="0"/>
    </format>
    <format dxfId="134">
      <pivotArea field="0" type="button" dataOnly="0" labelOnly="1" outline="0" axis="axisRow" fieldPosition="0"/>
    </format>
    <format dxfId="133">
      <pivotArea dataOnly="0" labelOnly="1" fieldPosition="0">
        <references count="1">
          <reference field="0" count="0"/>
        </references>
      </pivotArea>
    </format>
    <format dxfId="132">
      <pivotArea dataOnly="0" labelOnly="1" outline="0" fieldPosition="0">
        <references count="1">
          <reference field="4294967294" count="3">
            <x v="0"/>
            <x v="1"/>
            <x v="2"/>
          </reference>
        </references>
      </pivotArea>
    </format>
    <format dxfId="131">
      <pivotArea type="all" dataOnly="0" outline="0" fieldPosition="0"/>
    </format>
    <format dxfId="130">
      <pivotArea outline="0" collapsedLevelsAreSubtotals="1" fieldPosition="0"/>
    </format>
    <format dxfId="129">
      <pivotArea field="0" type="button" dataOnly="0" labelOnly="1" outline="0" axis="axisRow" fieldPosition="0"/>
    </format>
    <format dxfId="128">
      <pivotArea dataOnly="0" labelOnly="1" fieldPosition="0">
        <references count="1">
          <reference field="0" count="0"/>
        </references>
      </pivotArea>
    </format>
    <format dxfId="127">
      <pivotArea dataOnly="0" labelOnly="1" outline="0" fieldPosition="0">
        <references count="1">
          <reference field="4294967294" count="3">
            <x v="0"/>
            <x v="1"/>
            <x v="2"/>
          </reference>
        </references>
      </pivotArea>
    </format>
  </formats>
  <pivotHierarchies count="2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caption="Revenue"/>
    <pivotHierarchy dragToData="1"/>
    <pivotHierarchy dragToData="1"/>
    <pivotHierarchy dragToData="1" caption="Operating Expenses"/>
    <pivotHierarchy dragToData="1" caption="Expense Ratio"/>
    <pivotHierarchy dragToData="1"/>
    <pivotHierarchy dragToData="1"/>
    <pivotHierarchy dragToData="1"/>
  </pivotHierarchies>
  <pivotTableStyleInfo name="PivotStyleMedium23"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heet1!$A$1:$O$7">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6B147249-2DF1-4344-873B-0C3910C37C1E}" name="Profitability"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Year">
  <location ref="A3:C9" firstHeaderRow="0" firstDataRow="1" firstDataCol="1"/>
  <pivotFields count="15">
    <pivotField axis="axisRow" showAll="0">
      <items count="7">
        <item x="0"/>
        <item x="1"/>
        <item x="2"/>
        <item x="3"/>
        <item x="4"/>
        <item x="5"/>
        <item t="default"/>
      </items>
    </pivotField>
    <pivotField numFmtId="164" showAll="0"/>
    <pivotField showAll="0"/>
    <pivotField numFmtId="164" showAll="0"/>
    <pivotField showAll="0"/>
    <pivotField numFmtId="164" showAll="0"/>
    <pivotField numFmtId="164" showAll="0"/>
    <pivotField dataField="1" numFmtId="165" showAll="0"/>
    <pivotField dataField="1" numFmtId="165" showAll="0"/>
    <pivotField numFmtId="165" showAll="0"/>
    <pivotField numFmtId="1" showAll="0"/>
    <pivotField showAll="0"/>
    <pivotField showAll="0"/>
    <pivotField showAll="0"/>
    <pivotField numFmtId="164" showAll="0"/>
  </pivotFields>
  <rowFields count="1">
    <field x="0"/>
  </rowFields>
  <rowItems count="6">
    <i>
      <x/>
    </i>
    <i>
      <x v="1"/>
    </i>
    <i>
      <x v="2"/>
    </i>
    <i>
      <x v="3"/>
    </i>
    <i>
      <x v="4"/>
    </i>
    <i>
      <x v="5"/>
    </i>
  </rowItems>
  <colFields count="1">
    <field x="-2"/>
  </colFields>
  <colItems count="2">
    <i>
      <x/>
    </i>
    <i i="1">
      <x v="1"/>
    </i>
  </colItems>
  <dataFields count="2">
    <dataField name=" Operating Margin" fld="7" baseField="0" baseItem="0" numFmtId="165"/>
    <dataField name=" Net Profit Margin" fld="8" baseField="0" baseItem="0" numFmtId="165"/>
  </dataFields>
  <formats count="16">
    <format dxfId="126">
      <pivotArea type="all" dataOnly="0" outline="0" fieldPosition="0"/>
    </format>
    <format dxfId="125">
      <pivotArea outline="0" collapsedLevelsAreSubtotals="1" fieldPosition="0"/>
    </format>
    <format dxfId="124">
      <pivotArea field="0" type="button" dataOnly="0" labelOnly="1" outline="0" axis="axisRow" fieldPosition="0"/>
    </format>
    <format dxfId="123">
      <pivotArea dataOnly="0" labelOnly="1" fieldPosition="0">
        <references count="1">
          <reference field="0" count="0"/>
        </references>
      </pivotArea>
    </format>
    <format dxfId="122">
      <pivotArea dataOnly="0" labelOnly="1" outline="0" fieldPosition="0">
        <references count="1">
          <reference field="4294967294" count="2">
            <x v="0"/>
            <x v="1"/>
          </reference>
        </references>
      </pivotArea>
    </format>
    <format dxfId="121">
      <pivotArea field="0" type="button" dataOnly="0" labelOnly="1" outline="0" axis="axisRow" fieldPosition="0"/>
    </format>
    <format dxfId="120">
      <pivotArea dataOnly="0" labelOnly="1" fieldPosition="0">
        <references count="1">
          <reference field="0" count="0"/>
        </references>
      </pivotArea>
    </format>
    <format dxfId="119">
      <pivotArea field="0" type="button" dataOnly="0" labelOnly="1" outline="0" axis="axisRow" fieldPosition="0"/>
    </format>
    <format dxfId="118">
      <pivotArea dataOnly="0" labelOnly="1" fieldPosition="0">
        <references count="1">
          <reference field="0" count="0"/>
        </references>
      </pivotArea>
    </format>
    <format dxfId="117">
      <pivotArea outline="0" collapsedLevelsAreSubtotals="1" fieldPosition="0"/>
    </format>
    <format dxfId="116">
      <pivotArea dataOnly="0" labelOnly="1" outline="0" fieldPosition="0">
        <references count="1">
          <reference field="4294967294" count="2">
            <x v="0"/>
            <x v="1"/>
          </reference>
        </references>
      </pivotArea>
    </format>
    <format dxfId="115">
      <pivotArea type="all" dataOnly="0" outline="0" fieldPosition="0"/>
    </format>
    <format dxfId="114">
      <pivotArea outline="0" collapsedLevelsAreSubtotals="1" fieldPosition="0"/>
    </format>
    <format dxfId="113">
      <pivotArea field="0" type="button" dataOnly="0" labelOnly="1" outline="0" axis="axisRow" fieldPosition="0"/>
    </format>
    <format dxfId="112">
      <pivotArea dataOnly="0" labelOnly="1" fieldPosition="0">
        <references count="1">
          <reference field="0" count="0"/>
        </references>
      </pivotArea>
    </format>
    <format dxfId="111">
      <pivotArea dataOnly="0" labelOnly="1" outline="0" fieldPosition="0">
        <references count="1">
          <reference field="4294967294" count="2">
            <x v="0"/>
            <x v="1"/>
          </reference>
        </references>
      </pivotArea>
    </format>
  </formats>
  <pivotTableStyleInfo name="PivotStyleMedium2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25784BAE-B6CB-4E48-B4DE-52C878B7DB5F}" name="Efficiency" cacheId="5"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outline="1" outlineData="1" multipleFieldFilters="0" rowHeaderCaption="Year">
  <location ref="A3:D9" firstHeaderRow="0" firstDataRow="1" firstDataCol="1"/>
  <pivotFields count="4">
    <pivotField axis="axisRow" allDrilled="1" subtotalTop="0" showAll="0" defaultSubtotal="0" defaultAttributeDrillState="1">
      <items count="6">
        <item x="0"/>
        <item x="1"/>
        <item x="2"/>
        <item x="3"/>
        <item x="4"/>
        <item x="5"/>
      </items>
    </pivotField>
    <pivotField dataField="1" subtotalTop="0" showAll="0" defaultSubtotal="0"/>
    <pivotField dataField="1" subtotalTop="0" showAll="0" defaultSubtotal="0"/>
    <pivotField dataField="1" subtotalTop="0" showAll="0" defaultSubtotal="0"/>
  </pivotFields>
  <rowFields count="1">
    <field x="0"/>
  </rowFields>
  <rowItems count="6">
    <i>
      <x/>
    </i>
    <i>
      <x v="1"/>
    </i>
    <i>
      <x v="2"/>
    </i>
    <i>
      <x v="3"/>
    </i>
    <i>
      <x v="4"/>
    </i>
    <i>
      <x v="5"/>
    </i>
  </rowItems>
  <colFields count="1">
    <field x="-2"/>
  </colFields>
  <colItems count="3">
    <i>
      <x/>
    </i>
    <i i="1">
      <x v="1"/>
    </i>
    <i i="2">
      <x v="2"/>
    </i>
  </colItems>
  <dataFields count="3">
    <dataField name="Revenue" fld="1" baseField="0" baseItem="0"/>
    <dataField name="Total Stores" fld="2" baseField="0" baseItem="0"/>
    <dataField name="Revenue per Store" fld="3" baseField="0" baseItem="0"/>
  </dataFields>
  <formats count="25">
    <format dxfId="110">
      <pivotArea dataOnly="0" outline="0" fieldPosition="0">
        <references count="1">
          <reference field="4294967294" count="1">
            <x v="0"/>
          </reference>
        </references>
      </pivotArea>
    </format>
    <format dxfId="109">
      <pivotArea dataOnly="0" outline="0" fieldPosition="0">
        <references count="1">
          <reference field="4294967294" count="1">
            <x v="2"/>
          </reference>
        </references>
      </pivotArea>
    </format>
    <format dxfId="108">
      <pivotArea type="all" dataOnly="0" outline="0" fieldPosition="0"/>
    </format>
    <format dxfId="107">
      <pivotArea outline="0" collapsedLevelsAreSubtotals="1" fieldPosition="0"/>
    </format>
    <format dxfId="106">
      <pivotArea field="0" type="button" dataOnly="0" labelOnly="1" outline="0" axis="axisRow" fieldPosition="0"/>
    </format>
    <format dxfId="105">
      <pivotArea dataOnly="0" labelOnly="1" fieldPosition="0">
        <references count="1">
          <reference field="0" count="0"/>
        </references>
      </pivotArea>
    </format>
    <format dxfId="104">
      <pivotArea dataOnly="0" labelOnly="1" grandRow="1" outline="0" fieldPosition="0"/>
    </format>
    <format dxfId="103">
      <pivotArea dataOnly="0" labelOnly="1" outline="0" fieldPosition="0">
        <references count="1">
          <reference field="4294967294" count="3">
            <x v="0"/>
            <x v="1"/>
            <x v="2"/>
          </reference>
        </references>
      </pivotArea>
    </format>
    <format dxfId="102">
      <pivotArea field="0" type="button" dataOnly="0" labelOnly="1" outline="0" axis="axisRow" fieldPosition="0"/>
    </format>
    <format dxfId="101">
      <pivotArea dataOnly="0" labelOnly="1" fieldPosition="0">
        <references count="1">
          <reference field="0" count="0"/>
        </references>
      </pivotArea>
    </format>
    <format dxfId="100">
      <pivotArea dataOnly="0" outline="0" fieldPosition="0">
        <references count="1">
          <reference field="4294967294" count="3">
            <x v="0"/>
            <x v="1"/>
            <x v="2"/>
          </reference>
        </references>
      </pivotArea>
    </format>
    <format dxfId="99">
      <pivotArea type="all" dataOnly="0" outline="0" fieldPosition="0"/>
    </format>
    <format dxfId="98">
      <pivotArea outline="0" collapsedLevelsAreSubtotals="1" fieldPosition="0"/>
    </format>
    <format dxfId="97">
      <pivotArea field="0" type="button" dataOnly="0" labelOnly="1" outline="0" axis="axisRow" fieldPosition="0"/>
    </format>
    <format dxfId="96">
      <pivotArea dataOnly="0" labelOnly="1" fieldPosition="0">
        <references count="1">
          <reference field="0" count="0"/>
        </references>
      </pivotArea>
    </format>
    <format dxfId="95">
      <pivotArea dataOnly="0" labelOnly="1" outline="0" fieldPosition="0">
        <references count="1">
          <reference field="4294967294" count="3">
            <x v="0"/>
            <x v="1"/>
            <x v="2"/>
          </reference>
        </references>
      </pivotArea>
    </format>
    <format dxfId="94">
      <pivotArea field="0" type="button" dataOnly="0" labelOnly="1" outline="0" axis="axisRow" fieldPosition="0"/>
    </format>
    <format dxfId="93">
      <pivotArea dataOnly="0" labelOnly="1" fieldPosition="0">
        <references count="1">
          <reference field="0" count="0"/>
        </references>
      </pivotArea>
    </format>
    <format dxfId="92">
      <pivotArea outline="0" collapsedLevelsAreSubtotals="1" fieldPosition="0"/>
    </format>
    <format dxfId="91">
      <pivotArea dataOnly="0" labelOnly="1" outline="0" fieldPosition="0">
        <references count="1">
          <reference field="4294967294" count="3">
            <x v="0"/>
            <x v="1"/>
            <x v="2"/>
          </reference>
        </references>
      </pivotArea>
    </format>
    <format dxfId="90">
      <pivotArea type="all" dataOnly="0" outline="0" fieldPosition="0"/>
    </format>
    <format dxfId="89">
      <pivotArea outline="0" collapsedLevelsAreSubtotals="1" fieldPosition="0"/>
    </format>
    <format dxfId="88">
      <pivotArea field="0" type="button" dataOnly="0" labelOnly="1" outline="0" axis="axisRow" fieldPosition="0"/>
    </format>
    <format dxfId="87">
      <pivotArea dataOnly="0" labelOnly="1" fieldPosition="0">
        <references count="1">
          <reference field="0" count="0"/>
        </references>
      </pivotArea>
    </format>
    <format dxfId="86">
      <pivotArea dataOnly="0" labelOnly="1" outline="0" fieldPosition="0">
        <references count="1">
          <reference field="4294967294" count="3">
            <x v="0"/>
            <x v="1"/>
            <x v="2"/>
          </reference>
        </references>
      </pivotArea>
    </format>
  </formats>
  <pivotHierarchies count="2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caption="Revenue"/>
    <pivotHierarchy dragToData="1" caption="Total Stores"/>
    <pivotHierarchy dragToData="1" caption="Revenue per Store"/>
    <pivotHierarchy dragToData="1"/>
    <pivotHierarchy dragToData="1"/>
    <pivotHierarchy dragToData="1"/>
    <pivotHierarchy dragToData="1"/>
    <pivotHierarchy dragToData="1"/>
  </pivotHierarchies>
  <pivotTableStyleInfo name="PivotStyleMedium24"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heet1!$A$1:$O$7">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605154E1-10EF-44DA-95F2-F7CB83CF066D}" name="Growth Analysis" cacheId="6"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outline="1" outlineData="1" multipleFieldFilters="0" rowHeaderCaption="Year">
  <location ref="A3:D9" firstHeaderRow="0" firstDataRow="1" firstDataCol="1"/>
  <pivotFields count="4">
    <pivotField axis="axisRow" allDrilled="1" subtotalTop="0" showAll="0" dataSourceSort="1" defaultSubtotal="0" defaultAttributeDrillState="1">
      <items count="6">
        <item x="0"/>
        <item x="1"/>
        <item x="2"/>
        <item x="3"/>
        <item x="4"/>
        <item x="5"/>
      </items>
    </pivotField>
    <pivotField dataField="1" subtotalTop="0" showAll="0" defaultSubtotal="0"/>
    <pivotField dataField="1" subtotalTop="0" showAll="0" defaultSubtotal="0"/>
    <pivotField dataField="1" subtotalTop="0" showAll="0" defaultSubtotal="0"/>
  </pivotFields>
  <rowFields count="1">
    <field x="0"/>
  </rowFields>
  <rowItems count="6">
    <i>
      <x/>
    </i>
    <i>
      <x v="1"/>
    </i>
    <i>
      <x v="2"/>
    </i>
    <i>
      <x v="3"/>
    </i>
    <i>
      <x v="4"/>
    </i>
    <i>
      <x v="5"/>
    </i>
  </rowItems>
  <colFields count="1">
    <field x="-2"/>
  </colFields>
  <colItems count="3">
    <i>
      <x/>
    </i>
    <i i="1">
      <x v="1"/>
    </i>
    <i i="2">
      <x v="2"/>
    </i>
  </colItems>
  <dataFields count="3">
    <dataField name="Revenue" fld="1" baseField="0" baseItem="0"/>
    <dataField name="Total Stores" fld="2" baseField="0" baseItem="0"/>
    <dataField name=" Net Income Growth %" fld="3" baseField="0" baseItem="0"/>
  </dataFields>
  <formats count="7">
    <format dxfId="85">
      <pivotArea dataOnly="0" outline="0" fieldPosition="0">
        <references count="1">
          <reference field="4294967294" count="1">
            <x v="0"/>
          </reference>
        </references>
      </pivotArea>
    </format>
    <format dxfId="84">
      <pivotArea type="all" dataOnly="0" outline="0" fieldPosition="0"/>
    </format>
    <format dxfId="83">
      <pivotArea outline="0" collapsedLevelsAreSubtotals="1" fieldPosition="0"/>
    </format>
    <format dxfId="82">
      <pivotArea field="0" type="button" dataOnly="0" labelOnly="1" outline="0" axis="axisRow" fieldPosition="0"/>
    </format>
    <format dxfId="81">
      <pivotArea dataOnly="0" labelOnly="1" fieldPosition="0">
        <references count="1">
          <reference field="0" count="0"/>
        </references>
      </pivotArea>
    </format>
    <format dxfId="80">
      <pivotArea dataOnly="0" labelOnly="1" outline="0" fieldPosition="0">
        <references count="1">
          <reference field="4294967294" count="2">
            <x v="0"/>
            <x v="1"/>
          </reference>
        </references>
      </pivotArea>
    </format>
    <format dxfId="79">
      <pivotArea dataOnly="0" outline="0" fieldPosition="0">
        <references count="1">
          <reference field="4294967294" count="1">
            <x v="2"/>
          </reference>
        </references>
      </pivotArea>
    </format>
  </formats>
  <pivotHierarchies count="2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caption="Revenue"/>
    <pivotHierarchy dragToData="1" caption="Total Stores"/>
    <pivotHierarchy dragToData="1"/>
    <pivotHierarchy dragToData="1"/>
    <pivotHierarchy dragToData="1"/>
    <pivotHierarchy dragToData="1"/>
    <pivotHierarchy dragToData="1" caption=" Net Income Growth %"/>
    <pivotHierarchy dragToData="1" caption=" Net Income Growth %"/>
  </pivotHierarchies>
  <pivotTableStyleInfo name="PivotStyleMedium23"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heet1!$A$1:$O$7">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1F8C2DD3-37EE-4590-BC5C-E5CDF458D9C9}" name="PivotTable1"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Year">
  <location ref="A3:F9" firstHeaderRow="0" firstDataRow="1" firstDataCol="1"/>
  <pivotFields count="17">
    <pivotField axis="axisRow" showAll="0">
      <items count="7">
        <item x="0"/>
        <item x="1"/>
        <item x="2"/>
        <item x="3"/>
        <item x="4"/>
        <item x="5"/>
        <item t="default"/>
      </items>
    </pivotField>
    <pivotField numFmtId="164" showAll="0"/>
    <pivotField showAll="0"/>
    <pivotField numFmtId="164" showAll="0"/>
    <pivotField showAll="0"/>
    <pivotField numFmtId="164" showAll="0"/>
    <pivotField numFmtId="164" showAll="0"/>
    <pivotField numFmtId="165" showAll="0"/>
    <pivotField numFmtId="165" showAll="0"/>
    <pivotField numFmtId="165" showAll="0"/>
    <pivotField dataField="1" numFmtId="1" showAll="0"/>
    <pivotField showAll="0"/>
    <pivotField dataField="1" showAll="0"/>
    <pivotField dataField="1" showAll="0"/>
    <pivotField numFmtId="164" showAll="0"/>
    <pivotField dataField="1" showAll="0"/>
    <pivotField dataField="1" showAll="0"/>
  </pivotFields>
  <rowFields count="1">
    <field x="0"/>
  </rowFields>
  <rowItems count="6">
    <i>
      <x/>
    </i>
    <i>
      <x v="1"/>
    </i>
    <i>
      <x v="2"/>
    </i>
    <i>
      <x v="3"/>
    </i>
    <i>
      <x v="4"/>
    </i>
    <i>
      <x v="5"/>
    </i>
  </rowItems>
  <colFields count="1">
    <field x="-2"/>
  </colFields>
  <colItems count="5">
    <i>
      <x/>
    </i>
    <i i="1">
      <x v="1"/>
    </i>
    <i i="2">
      <x v="2"/>
    </i>
    <i i="3">
      <x v="3"/>
    </i>
    <i i="4">
      <x v="4"/>
    </i>
  </colItems>
  <dataFields count="5">
    <dataField name=" Total Stores" fld="10" baseField="0" baseItem="0" numFmtId="1"/>
    <dataField name=" Company Stores" fld="12" baseField="0" baseItem="1"/>
    <dataField name=" Franchise Stores" fld="13" baseField="0" baseItem="1"/>
    <dataField name=" Company Stores % of Total" fld="15" baseField="0" baseItem="3" numFmtId="10"/>
    <dataField name=" Franchise Stores % of Total" fld="16" baseField="0" baseItem="3" numFmtId="10"/>
  </dataFields>
  <formats count="2">
    <format dxfId="78">
      <pivotArea outline="0" collapsedLevelsAreSubtotals="1" fieldPosition="0">
        <references count="1">
          <reference field="4294967294" count="2" selected="0">
            <x v="3"/>
            <x v="4"/>
          </reference>
        </references>
      </pivotArea>
    </format>
    <format dxfId="77">
      <pivotArea dataOnly="0" labelOnly="1" outline="0" fieldPosition="0">
        <references count="1">
          <reference field="4294967294" count="2">
            <x v="3"/>
            <x v="4"/>
          </reference>
        </references>
      </pivotArea>
    </format>
  </formats>
  <pivotTableStyleInfo name="PivotStyleMedium2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56AFFA3E-62EC-4312-8FCE-B98A7B20D25D}" name="PivotTable1" cacheId="1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Year">
  <location ref="A3:E9" firstHeaderRow="0" firstDataRow="1" firstDataCol="1"/>
  <pivotFields count="18">
    <pivotField axis="axisRow" showAll="0">
      <items count="7">
        <item x="0"/>
        <item x="1"/>
        <item x="2"/>
        <item x="3"/>
        <item x="4"/>
        <item x="5"/>
        <item t="default"/>
      </items>
    </pivotField>
    <pivotField dataField="1" numFmtId="164" showAll="0"/>
    <pivotField showAll="0"/>
    <pivotField dataField="1" numFmtId="164" showAll="0"/>
    <pivotField showAll="0"/>
    <pivotField dataField="1" numFmtId="164" showAll="0"/>
    <pivotField dataField="1" numFmtId="164" showAll="0"/>
    <pivotField numFmtId="165" showAll="0"/>
    <pivotField numFmtId="165" showAll="0"/>
    <pivotField numFmtId="165" showAll="0"/>
    <pivotField numFmtId="1" showAll="0"/>
    <pivotField showAll="0"/>
    <pivotField showAll="0"/>
    <pivotField showAll="0"/>
    <pivotField numFmtId="164" showAll="0"/>
    <pivotField showAll="0"/>
    <pivotField showAll="0"/>
    <pivotField showAll="0"/>
  </pivotFields>
  <rowFields count="1">
    <field x="0"/>
  </rowFields>
  <rowItems count="6">
    <i>
      <x/>
    </i>
    <i>
      <x v="1"/>
    </i>
    <i>
      <x v="2"/>
    </i>
    <i>
      <x v="3"/>
    </i>
    <i>
      <x v="4"/>
    </i>
    <i>
      <x v="5"/>
    </i>
  </rowItems>
  <colFields count="1">
    <field x="-2"/>
  </colFields>
  <colItems count="4">
    <i>
      <x/>
    </i>
    <i i="1">
      <x v="1"/>
    </i>
    <i i="2">
      <x v="2"/>
    </i>
    <i i="3">
      <x v="3"/>
    </i>
  </colItems>
  <dataFields count="4">
    <dataField name=" Revenue" fld="1" baseField="0" baseItem="0" numFmtId="164"/>
    <dataField name=" Operating Income" fld="5" baseField="0" baseItem="0" numFmtId="164"/>
    <dataField name=" Net Income" fld="3" baseField="0" baseItem="0" numFmtId="164"/>
    <dataField name=" Operating Expenses" fld="6" baseField="0" baseItem="0" numFmtId="164"/>
  </dataFields>
  <formats count="9">
    <format dxfId="76">
      <pivotArea field="0" type="button" dataOnly="0" labelOnly="1" outline="0" axis="axisRow" fieldPosition="0"/>
    </format>
    <format dxfId="75">
      <pivotArea dataOnly="0" labelOnly="1" fieldPosition="0">
        <references count="1">
          <reference field="0" count="0"/>
        </references>
      </pivotArea>
    </format>
    <format dxfId="74">
      <pivotArea outline="0" collapsedLevelsAreSubtotals="1" fieldPosition="0"/>
    </format>
    <format dxfId="73">
      <pivotArea dataOnly="0" labelOnly="1" outline="0" fieldPosition="0">
        <references count="1">
          <reference field="4294967294" count="4">
            <x v="0"/>
            <x v="1"/>
            <x v="2"/>
            <x v="3"/>
          </reference>
        </references>
      </pivotArea>
    </format>
    <format dxfId="72">
      <pivotArea type="all" dataOnly="0" outline="0" fieldPosition="0"/>
    </format>
    <format dxfId="71">
      <pivotArea outline="0" collapsedLevelsAreSubtotals="1" fieldPosition="0"/>
    </format>
    <format dxfId="70">
      <pivotArea field="0" type="button" dataOnly="0" labelOnly="1" outline="0" axis="axisRow" fieldPosition="0"/>
    </format>
    <format dxfId="69">
      <pivotArea dataOnly="0" labelOnly="1" fieldPosition="0">
        <references count="1">
          <reference field="0" count="0"/>
        </references>
      </pivotArea>
    </format>
    <format dxfId="68">
      <pivotArea dataOnly="0" labelOnly="1" outline="0" fieldPosition="0">
        <references count="1">
          <reference field="4294967294" count="4">
            <x v="0"/>
            <x v="1"/>
            <x v="2"/>
            <x v="3"/>
          </reference>
        </references>
      </pivotArea>
    </format>
  </formats>
  <pivotTableStyleInfo name="PivotStyleMedium2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92DB78A1-36E5-4BFD-8815-D9DC5DCFF80E}" name="PivotTable9" cacheId="1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Year">
  <location ref="A3:B9" firstHeaderRow="1" firstDataRow="1" firstDataCol="1"/>
  <pivotFields count="18">
    <pivotField axis="axisRow" showAll="0">
      <items count="7">
        <item x="0"/>
        <item x="1"/>
        <item x="2"/>
        <item x="3"/>
        <item x="4"/>
        <item x="5"/>
        <item t="default"/>
      </items>
    </pivotField>
    <pivotField numFmtId="164" showAll="0"/>
    <pivotField showAll="0"/>
    <pivotField numFmtId="164" showAll="0"/>
    <pivotField showAll="0"/>
    <pivotField numFmtId="164" showAll="0"/>
    <pivotField numFmtId="164" showAll="0"/>
    <pivotField numFmtId="165" showAll="0"/>
    <pivotField numFmtId="165" showAll="0"/>
    <pivotField numFmtId="165" showAll="0"/>
    <pivotField numFmtId="1" showAll="0"/>
    <pivotField showAll="0"/>
    <pivotField showAll="0"/>
    <pivotField showAll="0"/>
    <pivotField numFmtId="164" showAll="0"/>
    <pivotField showAll="0"/>
    <pivotField showAll="0"/>
    <pivotField dataField="1" showAll="0"/>
  </pivotFields>
  <rowFields count="1">
    <field x="0"/>
  </rowFields>
  <rowItems count="6">
    <i>
      <x/>
    </i>
    <i>
      <x v="1"/>
    </i>
    <i>
      <x v="2"/>
    </i>
    <i>
      <x v="3"/>
    </i>
    <i>
      <x v="4"/>
    </i>
    <i>
      <x v="5"/>
    </i>
  </rowItems>
  <colItems count="1">
    <i/>
  </colItems>
  <dataFields count="1">
    <dataField name=" Same Shop Sales Growth %" fld="17" baseField="0" baseItem="0" numFmtId="9"/>
  </dataFields>
  <formats count="13">
    <format dxfId="57">
      <pivotArea dataOnly="0" outline="0" axis="axisValues" fieldPosition="0"/>
    </format>
    <format dxfId="55">
      <pivotArea collapsedLevelsAreSubtotals="1" fieldPosition="0">
        <references count="1">
          <reference field="0" count="0"/>
        </references>
      </pivotArea>
    </format>
    <format dxfId="51">
      <pivotArea field="0" type="button" dataOnly="0" labelOnly="1" outline="0" axis="axisRow" fieldPosition="0"/>
    </format>
    <format dxfId="50">
      <pivotArea dataOnly="0" labelOnly="1" fieldPosition="0">
        <references count="1">
          <reference field="0" count="0"/>
        </references>
      </pivotArea>
    </format>
    <format dxfId="49">
      <pivotArea outline="0" collapsedLevelsAreSubtotals="1" fieldPosition="0"/>
    </format>
    <format dxfId="48">
      <pivotArea dataOnly="0" labelOnly="1" outline="0" axis="axisValues" fieldPosition="0"/>
    </format>
    <format dxfId="46">
      <pivotArea field="0" type="button" dataOnly="0" labelOnly="1" outline="0" axis="axisRow" fieldPosition="0"/>
    </format>
    <format dxfId="45">
      <pivotArea dataOnly="0" labelOnly="1" fieldPosition="0">
        <references count="1">
          <reference field="0" count="0"/>
        </references>
      </pivotArea>
    </format>
    <format dxfId="44">
      <pivotArea type="all" dataOnly="0" outline="0" fieldPosition="0"/>
    </format>
    <format dxfId="43">
      <pivotArea outline="0" collapsedLevelsAreSubtotals="1" fieldPosition="0"/>
    </format>
    <format dxfId="42">
      <pivotArea field="0" type="button" dataOnly="0" labelOnly="1" outline="0" axis="axisRow" fieldPosition="0"/>
    </format>
    <format dxfId="41">
      <pivotArea dataOnly="0" labelOnly="1" fieldPosition="0">
        <references count="1">
          <reference field="0" count="0"/>
        </references>
      </pivotArea>
    </format>
    <format dxfId="4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5A785D3-04EB-455C-80DB-E84340D0DAB8}" sourceName="Year">
  <pivotTables>
    <pivotTable tabId="9" name="PivotTable7"/>
  </pivotTables>
  <data>
    <tabular pivotCacheId="1504000986">
      <items count="6">
        <i x="0"/>
        <i x="1"/>
        <i x="2"/>
        <i x="3"/>
        <i x="4"/>
        <i x="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520A05F9-B01E-43F2-92FC-56189745AF37}" cache="Slicer_Year" caption="Year" startItem="3" style="Slicer Style 4" rowHeight="4572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2.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3.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14.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5.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16.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17.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C0FE5-7929-497F-BC1D-5409E006E88F}">
  <sheetPr>
    <pageSetUpPr autoPageBreaks="0"/>
  </sheetPr>
  <dimension ref="A1:A157"/>
  <sheetViews>
    <sheetView showZeros="0" tabSelected="1" zoomScale="74" zoomScaleNormal="74" workbookViewId="0"/>
  </sheetViews>
  <sheetFormatPr defaultRowHeight="15" x14ac:dyDescent="0.25"/>
  <cols>
    <col min="1" max="1" width="12.5703125" customWidth="1"/>
    <col min="2" max="2" width="9.5703125" bestFit="1" customWidth="1"/>
    <col min="3" max="3" width="15.28515625" bestFit="1" customWidth="1"/>
    <col min="4" max="4" width="11.7109375" bestFit="1" customWidth="1"/>
    <col min="5" max="5" width="19.42578125" bestFit="1" customWidth="1"/>
    <col min="6" max="6" width="18.28515625" bestFit="1" customWidth="1"/>
    <col min="7" max="7" width="16.28515625" bestFit="1" customWidth="1"/>
  </cols>
  <sheetData>
    <row r="1" s="17" customFormat="1" x14ac:dyDescent="0.25"/>
    <row r="2" s="17" customFormat="1" x14ac:dyDescent="0.25"/>
    <row r="3" s="17" customFormat="1" x14ac:dyDescent="0.25"/>
    <row r="4" s="17" customFormat="1" x14ac:dyDescent="0.25"/>
    <row r="5" s="17" customFormat="1" x14ac:dyDescent="0.25"/>
    <row r="6" s="17" customFormat="1" x14ac:dyDescent="0.25"/>
    <row r="7" s="17" customFormat="1" x14ac:dyDescent="0.25"/>
    <row r="8" s="17" customFormat="1" x14ac:dyDescent="0.25"/>
    <row r="9" s="17" customFormat="1" x14ac:dyDescent="0.25"/>
    <row r="10" s="17" customFormat="1" x14ac:dyDescent="0.25"/>
    <row r="11" s="17" customFormat="1" x14ac:dyDescent="0.25"/>
    <row r="12" s="17" customFormat="1" x14ac:dyDescent="0.25"/>
    <row r="13" s="17" customFormat="1" x14ac:dyDescent="0.25"/>
    <row r="14" s="17" customFormat="1" x14ac:dyDescent="0.25"/>
    <row r="15" s="17" customFormat="1" x14ac:dyDescent="0.25"/>
    <row r="16" s="32" customFormat="1" x14ac:dyDescent="0.25"/>
    <row r="17" s="32" customFormat="1" x14ac:dyDescent="0.25"/>
    <row r="18" s="32" customFormat="1" x14ac:dyDescent="0.25"/>
    <row r="19" s="32" customFormat="1" x14ac:dyDescent="0.25"/>
    <row r="20" s="32" customFormat="1" x14ac:dyDescent="0.25"/>
    <row r="21" s="31" customFormat="1" x14ac:dyDescent="0.25"/>
    <row r="22" s="31" customFormat="1" x14ac:dyDescent="0.25"/>
    <row r="23" s="31" customFormat="1" x14ac:dyDescent="0.25"/>
    <row r="24" s="31" customFormat="1" x14ac:dyDescent="0.25"/>
    <row r="25" s="31" customFormat="1" x14ac:dyDescent="0.25"/>
    <row r="26" s="31" customFormat="1" x14ac:dyDescent="0.25"/>
    <row r="27" s="31" customFormat="1" x14ac:dyDescent="0.25"/>
    <row r="28" s="31" customFormat="1" x14ac:dyDescent="0.25"/>
    <row r="29" s="31" customFormat="1" x14ac:dyDescent="0.25"/>
    <row r="30" s="31" customFormat="1" x14ac:dyDescent="0.25"/>
    <row r="31" s="31" customFormat="1" x14ac:dyDescent="0.25"/>
    <row r="32" s="31" customFormat="1" x14ac:dyDescent="0.25"/>
    <row r="33" s="31" customFormat="1" x14ac:dyDescent="0.25"/>
    <row r="34" s="31" customFormat="1" x14ac:dyDescent="0.25"/>
    <row r="35" s="31" customFormat="1" x14ac:dyDescent="0.25"/>
    <row r="36" s="31" customFormat="1" x14ac:dyDescent="0.25"/>
    <row r="37" s="31" customFormat="1" x14ac:dyDescent="0.25"/>
    <row r="38" s="31" customFormat="1" x14ac:dyDescent="0.25"/>
    <row r="39" s="31" customFormat="1" x14ac:dyDescent="0.25"/>
    <row r="40" s="31" customFormat="1" x14ac:dyDescent="0.25"/>
    <row r="41" s="31" customFormat="1" x14ac:dyDescent="0.25"/>
    <row r="42" s="31" customFormat="1" x14ac:dyDescent="0.25"/>
    <row r="43" s="31" customFormat="1" x14ac:dyDescent="0.25"/>
    <row r="44" s="31" customFormat="1" x14ac:dyDescent="0.25"/>
    <row r="45" s="31" customFormat="1" x14ac:dyDescent="0.25"/>
    <row r="46" s="31" customFormat="1" x14ac:dyDescent="0.25"/>
    <row r="47" s="31" customFormat="1" x14ac:dyDescent="0.25"/>
    <row r="48" s="31" customFormat="1" x14ac:dyDescent="0.25"/>
    <row r="49" s="31" customFormat="1" x14ac:dyDescent="0.25"/>
    <row r="50" s="31" customFormat="1" x14ac:dyDescent="0.25"/>
    <row r="51" s="31" customFormat="1" x14ac:dyDescent="0.25"/>
    <row r="52" s="31" customFormat="1" x14ac:dyDescent="0.25"/>
    <row r="53" s="31" customFormat="1" x14ac:dyDescent="0.25"/>
    <row r="54" s="31" customFormat="1" x14ac:dyDescent="0.25"/>
    <row r="55" s="31" customFormat="1" x14ac:dyDescent="0.25"/>
    <row r="56" s="31" customFormat="1" x14ac:dyDescent="0.25"/>
    <row r="57" s="31" customFormat="1" x14ac:dyDescent="0.25"/>
    <row r="58" s="31" customFormat="1" x14ac:dyDescent="0.25"/>
    <row r="59" s="31" customFormat="1" x14ac:dyDescent="0.25"/>
    <row r="60" s="31" customFormat="1" x14ac:dyDescent="0.25"/>
    <row r="61" s="31" customFormat="1" x14ac:dyDescent="0.25"/>
    <row r="62" s="31" customFormat="1" x14ac:dyDescent="0.25"/>
    <row r="63" s="31" customFormat="1" x14ac:dyDescent="0.25"/>
    <row r="64" s="31" customFormat="1" x14ac:dyDescent="0.25"/>
    <row r="65" s="31" customFormat="1" x14ac:dyDescent="0.25"/>
    <row r="66" s="31" customFormat="1" x14ac:dyDescent="0.25"/>
    <row r="67" s="31" customFormat="1" x14ac:dyDescent="0.25"/>
    <row r="68" s="31" customFormat="1" x14ac:dyDescent="0.25"/>
    <row r="69" s="31" customFormat="1" x14ac:dyDescent="0.25"/>
    <row r="70" s="31" customFormat="1" x14ac:dyDescent="0.25"/>
    <row r="71" s="31" customFormat="1" x14ac:dyDescent="0.25"/>
    <row r="72" s="31" customFormat="1" x14ac:dyDescent="0.25"/>
    <row r="73" s="31" customFormat="1" x14ac:dyDescent="0.25"/>
    <row r="74" s="31" customFormat="1" x14ac:dyDescent="0.25"/>
    <row r="75" s="31" customFormat="1" x14ac:dyDescent="0.25"/>
    <row r="76" s="31" customFormat="1" x14ac:dyDescent="0.25"/>
    <row r="77" s="31" customFormat="1" x14ac:dyDescent="0.25"/>
    <row r="78" s="31" customFormat="1" x14ac:dyDescent="0.25"/>
    <row r="79" s="31" customFormat="1" x14ac:dyDescent="0.25"/>
    <row r="80" s="31" customFormat="1" x14ac:dyDescent="0.25"/>
    <row r="81" s="31" customFormat="1" x14ac:dyDescent="0.25"/>
    <row r="82" s="31" customFormat="1" x14ac:dyDescent="0.25"/>
    <row r="83" s="31" customFormat="1" x14ac:dyDescent="0.25"/>
    <row r="84" s="31" customFormat="1" x14ac:dyDescent="0.25"/>
    <row r="85" s="31" customFormat="1" x14ac:dyDescent="0.25"/>
    <row r="86" s="31" customFormat="1" x14ac:dyDescent="0.25"/>
    <row r="87" s="31" customFormat="1" x14ac:dyDescent="0.25"/>
    <row r="88" s="31" customFormat="1" x14ac:dyDescent="0.25"/>
    <row r="89" s="31" customFormat="1" x14ac:dyDescent="0.25"/>
    <row r="90" s="31" customFormat="1" x14ac:dyDescent="0.25"/>
    <row r="91" s="31" customFormat="1" x14ac:dyDescent="0.25"/>
    <row r="92" s="31" customFormat="1" x14ac:dyDescent="0.25"/>
    <row r="93" s="31" customFormat="1" x14ac:dyDescent="0.25"/>
    <row r="94" s="31" customFormat="1" x14ac:dyDescent="0.25"/>
    <row r="95" s="31" customFormat="1" x14ac:dyDescent="0.25"/>
    <row r="96" s="31" customFormat="1" x14ac:dyDescent="0.25"/>
    <row r="97" s="31" customFormat="1" x14ac:dyDescent="0.25"/>
    <row r="98" s="31" customFormat="1" x14ac:dyDescent="0.25"/>
    <row r="99" s="31" customFormat="1" x14ac:dyDescent="0.25"/>
    <row r="100" s="31" customFormat="1" x14ac:dyDescent="0.25"/>
    <row r="101" s="31" customFormat="1" x14ac:dyDescent="0.25"/>
    <row r="102" s="31" customFormat="1" x14ac:dyDescent="0.25"/>
    <row r="103" s="31" customFormat="1" x14ac:dyDescent="0.25"/>
    <row r="104" s="31" customFormat="1" x14ac:dyDescent="0.25"/>
    <row r="105" s="31" customFormat="1" x14ac:dyDescent="0.25"/>
    <row r="106" s="31" customFormat="1" x14ac:dyDescent="0.25"/>
    <row r="107" s="31" customFormat="1" x14ac:dyDescent="0.25"/>
    <row r="108" s="31" customFormat="1" x14ac:dyDescent="0.25"/>
    <row r="109" s="31" customFormat="1" x14ac:dyDescent="0.25"/>
    <row r="110" s="31" customFormat="1" x14ac:dyDescent="0.25"/>
    <row r="111" s="31" customFormat="1" x14ac:dyDescent="0.25"/>
    <row r="112" s="31" customFormat="1" x14ac:dyDescent="0.25"/>
    <row r="113" s="31" customFormat="1" x14ac:dyDescent="0.25"/>
    <row r="114" s="31" customFormat="1" x14ac:dyDescent="0.25"/>
    <row r="115" s="31" customFormat="1" x14ac:dyDescent="0.25"/>
    <row r="116" s="31" customFormat="1" x14ac:dyDescent="0.25"/>
    <row r="117" s="31" customFormat="1" x14ac:dyDescent="0.25"/>
    <row r="118" s="31" customFormat="1" x14ac:dyDescent="0.25"/>
    <row r="119" s="31" customFormat="1" x14ac:dyDescent="0.25"/>
    <row r="120" s="31" customFormat="1" x14ac:dyDescent="0.25"/>
    <row r="121" s="31" customFormat="1" x14ac:dyDescent="0.25"/>
    <row r="122" s="31" customFormat="1" x14ac:dyDescent="0.25"/>
    <row r="123" s="31" customFormat="1" x14ac:dyDescent="0.25"/>
    <row r="124" s="31" customFormat="1" x14ac:dyDescent="0.25"/>
    <row r="125" s="31" customFormat="1" x14ac:dyDescent="0.25"/>
    <row r="126" s="31" customFormat="1" x14ac:dyDescent="0.25"/>
    <row r="127" s="31" customFormat="1" x14ac:dyDescent="0.25"/>
    <row r="128" s="31" customFormat="1" x14ac:dyDescent="0.25"/>
    <row r="129" s="31" customFormat="1" x14ac:dyDescent="0.25"/>
    <row r="130" s="31" customFormat="1" x14ac:dyDescent="0.25"/>
    <row r="131" s="31" customFormat="1" x14ac:dyDescent="0.25"/>
    <row r="132" s="31" customFormat="1" x14ac:dyDescent="0.25"/>
    <row r="133" s="31" customFormat="1" x14ac:dyDescent="0.25"/>
    <row r="134" s="31" customFormat="1" x14ac:dyDescent="0.25"/>
    <row r="135" s="31" customFormat="1" x14ac:dyDescent="0.25"/>
    <row r="136" s="31" customFormat="1" x14ac:dyDescent="0.25"/>
    <row r="137" s="31" customFormat="1" x14ac:dyDescent="0.25"/>
    <row r="138" s="31" customFormat="1" x14ac:dyDescent="0.25"/>
    <row r="139" s="31" customFormat="1" x14ac:dyDescent="0.25"/>
    <row r="140" s="31" customFormat="1" x14ac:dyDescent="0.25"/>
    <row r="141" s="31" customFormat="1" x14ac:dyDescent="0.25"/>
    <row r="142" s="31" customFormat="1" x14ac:dyDescent="0.25"/>
    <row r="143" s="31" customFormat="1" x14ac:dyDescent="0.25"/>
    <row r="144" s="31" customFormat="1" x14ac:dyDescent="0.25"/>
    <row r="145" s="31" customFormat="1" x14ac:dyDescent="0.25"/>
    <row r="146" s="31" customFormat="1" x14ac:dyDescent="0.25"/>
    <row r="147" s="31" customFormat="1" x14ac:dyDescent="0.25"/>
    <row r="148" s="31" customFormat="1" x14ac:dyDescent="0.25"/>
    <row r="149" s="31" customFormat="1" x14ac:dyDescent="0.25"/>
    <row r="150" s="31" customFormat="1" x14ac:dyDescent="0.25"/>
    <row r="151" s="31" customFormat="1" x14ac:dyDescent="0.25"/>
    <row r="152" s="31" customFormat="1" x14ac:dyDescent="0.25"/>
    <row r="153" s="31" customFormat="1" x14ac:dyDescent="0.25"/>
    <row r="154" s="31" customFormat="1" x14ac:dyDescent="0.25"/>
    <row r="155" s="31" customFormat="1" x14ac:dyDescent="0.25"/>
    <row r="156" s="31" customFormat="1" x14ac:dyDescent="0.25"/>
    <row r="157" s="31" customFormat="1" x14ac:dyDescent="0.25"/>
  </sheetData>
  <customSheetViews>
    <customSheetView guid="{6D03D69D-4C38-4796-9B98-7AD9E375DE36}" showPageBreaks="1" view="pageLayout" topLeftCell="I1">
      <selection activeCell="X11" sqref="X11"/>
    </customSheetView>
  </customSheetView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4104B-E1E4-4FAC-88E7-96A367A03B3B}">
  <dimension ref="A1"/>
  <sheetViews>
    <sheetView zoomScale="80" zoomScaleNormal="80" workbookViewId="0"/>
  </sheetViews>
  <sheetFormatPr defaultRowHeight="15" x14ac:dyDescent="0.25"/>
  <sheetData/>
  <customSheetViews>
    <customSheetView guid="{6D03D69D-4C38-4796-9B98-7AD9E375DE36}" scale="80">
      <selection activeCell="Y9" sqref="Y9"/>
    </customSheetView>
  </customSheetView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F74251-16C3-473F-B884-F844FEB9C463}">
  <dimension ref="A2:U54"/>
  <sheetViews>
    <sheetView workbookViewId="0"/>
  </sheetViews>
  <sheetFormatPr defaultRowHeight="15" x14ac:dyDescent="0.25"/>
  <cols>
    <col min="1" max="1" width="9.5703125" bestFit="1" customWidth="1"/>
    <col min="2" max="2" width="26.28515625" bestFit="1" customWidth="1"/>
    <col min="3" max="3" width="16.7109375" bestFit="1" customWidth="1"/>
    <col min="4" max="4" width="19.42578125" bestFit="1" customWidth="1"/>
    <col min="5" max="5" width="20" bestFit="1" customWidth="1"/>
    <col min="6" max="6" width="26.140625" bestFit="1" customWidth="1"/>
    <col min="7" max="7" width="15.7109375" bestFit="1" customWidth="1"/>
    <col min="8" max="8" width="26.85546875" customWidth="1"/>
    <col min="9" max="9" width="16.42578125" bestFit="1" customWidth="1"/>
    <col min="10" max="10" width="16.5703125" bestFit="1" customWidth="1"/>
    <col min="11" max="12" width="26.140625" bestFit="1" customWidth="1"/>
    <col min="13" max="13" width="27.7109375" bestFit="1" customWidth="1"/>
    <col min="14" max="14" width="23.42578125" bestFit="1" customWidth="1"/>
    <col min="15" max="15" width="23.28515625" bestFit="1" customWidth="1"/>
    <col min="16" max="16" width="20.85546875" bestFit="1" customWidth="1"/>
    <col min="17" max="17" width="18.7109375" bestFit="1" customWidth="1"/>
    <col min="18" max="18" width="27" bestFit="1" customWidth="1"/>
    <col min="19" max="19" width="23" bestFit="1" customWidth="1"/>
    <col min="20" max="20" width="23.140625" bestFit="1" customWidth="1"/>
    <col min="21" max="21" width="26.42578125" bestFit="1" customWidth="1"/>
  </cols>
  <sheetData>
    <row r="2" spans="1:11" x14ac:dyDescent="0.25">
      <c r="A2" t="s">
        <v>19</v>
      </c>
      <c r="G2" t="s">
        <v>22</v>
      </c>
    </row>
    <row r="3" spans="1:11" x14ac:dyDescent="0.25">
      <c r="A3" s="6" t="s">
        <v>0</v>
      </c>
      <c r="B3" s="3" t="s">
        <v>1</v>
      </c>
      <c r="C3" s="1" t="s">
        <v>5</v>
      </c>
      <c r="G3" s="15" t="s">
        <v>0</v>
      </c>
      <c r="H3" s="29" t="s">
        <v>4</v>
      </c>
      <c r="I3" s="29" t="s">
        <v>1</v>
      </c>
      <c r="J3" s="30" t="s">
        <v>13</v>
      </c>
      <c r="K3" s="16"/>
    </row>
    <row r="4" spans="1:11" x14ac:dyDescent="0.25">
      <c r="A4" s="15">
        <v>2020</v>
      </c>
      <c r="B4" s="3">
        <v>327413000</v>
      </c>
      <c r="C4" s="1">
        <v>441</v>
      </c>
      <c r="G4" s="15">
        <v>2020</v>
      </c>
      <c r="H4" s="29">
        <v>316413000</v>
      </c>
      <c r="I4" s="29">
        <v>327413000</v>
      </c>
      <c r="J4" s="30">
        <v>0.96640328881260062</v>
      </c>
      <c r="K4" s="16"/>
    </row>
    <row r="5" spans="1:11" x14ac:dyDescent="0.25">
      <c r="A5" s="1">
        <v>2021</v>
      </c>
      <c r="B5" s="3">
        <v>497876000</v>
      </c>
      <c r="C5" s="1">
        <v>538</v>
      </c>
      <c r="G5" s="15">
        <v>2021</v>
      </c>
      <c r="H5" s="29">
        <v>609102000</v>
      </c>
      <c r="I5" s="29">
        <v>497876000</v>
      </c>
      <c r="J5" s="30">
        <v>1.2234010074797741</v>
      </c>
      <c r="K5" s="16"/>
    </row>
    <row r="6" spans="1:11" x14ac:dyDescent="0.25">
      <c r="A6" s="1">
        <v>2022</v>
      </c>
      <c r="B6" s="3">
        <v>739012000</v>
      </c>
      <c r="C6" s="1">
        <v>671</v>
      </c>
      <c r="G6" s="15">
        <v>2022</v>
      </c>
      <c r="H6" s="29">
        <v>741624000</v>
      </c>
      <c r="I6" s="29">
        <v>739012000</v>
      </c>
      <c r="J6" s="30">
        <v>1.0035344486963675</v>
      </c>
      <c r="K6" s="16"/>
    </row>
    <row r="7" spans="1:11" x14ac:dyDescent="0.25">
      <c r="A7" s="1">
        <v>2023</v>
      </c>
      <c r="B7" s="3">
        <v>965776000</v>
      </c>
      <c r="C7" s="1">
        <v>831</v>
      </c>
      <c r="G7" s="15">
        <v>2023</v>
      </c>
      <c r="H7" s="29">
        <v>919554000</v>
      </c>
      <c r="I7" s="29">
        <v>965776000</v>
      </c>
      <c r="J7" s="30">
        <v>0.95214004075479197</v>
      </c>
      <c r="K7" s="16"/>
    </row>
    <row r="8" spans="1:11" x14ac:dyDescent="0.25">
      <c r="A8" s="1">
        <v>2024</v>
      </c>
      <c r="B8" s="3">
        <v>1281015000</v>
      </c>
      <c r="C8" s="1">
        <v>982</v>
      </c>
      <c r="G8" s="15">
        <v>2024</v>
      </c>
      <c r="H8" s="29">
        <v>1174922000</v>
      </c>
      <c r="I8" s="29">
        <v>1281015000</v>
      </c>
      <c r="J8" s="30">
        <v>0.91718051701190073</v>
      </c>
      <c r="K8" s="16"/>
    </row>
    <row r="9" spans="1:11" x14ac:dyDescent="0.25">
      <c r="A9" s="1">
        <v>2025</v>
      </c>
      <c r="B9" s="3">
        <v>1638159000</v>
      </c>
      <c r="C9" s="1">
        <v>1136</v>
      </c>
      <c r="G9" s="15">
        <v>2025</v>
      </c>
      <c r="H9" s="29">
        <v>1476979000</v>
      </c>
      <c r="I9" s="29">
        <v>1638159000</v>
      </c>
      <c r="J9" s="30">
        <v>0.90160906236818283</v>
      </c>
      <c r="K9" s="16"/>
    </row>
    <row r="11" spans="1:11" x14ac:dyDescent="0.25">
      <c r="A11" t="s">
        <v>20</v>
      </c>
      <c r="G11" t="s">
        <v>23</v>
      </c>
    </row>
    <row r="12" spans="1:11" x14ac:dyDescent="0.25">
      <c r="A12" s="11" t="s">
        <v>0</v>
      </c>
      <c r="B12" s="12" t="s">
        <v>1</v>
      </c>
      <c r="C12" s="13" t="s">
        <v>5</v>
      </c>
      <c r="D12" s="14" t="s">
        <v>12</v>
      </c>
      <c r="G12" s="11" t="s">
        <v>0</v>
      </c>
      <c r="H12" s="25" t="s">
        <v>17</v>
      </c>
      <c r="I12" s="25" t="s">
        <v>18</v>
      </c>
      <c r="J12" s="25" t="s">
        <v>24</v>
      </c>
    </row>
    <row r="13" spans="1:11" x14ac:dyDescent="0.25">
      <c r="A13" s="11">
        <v>2020</v>
      </c>
      <c r="B13" s="12">
        <v>327413000</v>
      </c>
      <c r="C13" s="13">
        <v>441</v>
      </c>
      <c r="D13" s="14">
        <v>742433.10657596367</v>
      </c>
      <c r="G13" s="11">
        <v>2020</v>
      </c>
      <c r="H13" s="25">
        <v>0</v>
      </c>
      <c r="I13" s="25">
        <v>0</v>
      </c>
      <c r="J13" s="25"/>
    </row>
    <row r="14" spans="1:11" x14ac:dyDescent="0.25">
      <c r="A14" s="11">
        <v>2021</v>
      </c>
      <c r="B14" s="12">
        <v>497876000</v>
      </c>
      <c r="C14" s="13">
        <v>538</v>
      </c>
      <c r="D14" s="14">
        <v>925420.07434944238</v>
      </c>
      <c r="G14" s="11">
        <v>2021</v>
      </c>
      <c r="H14" s="25">
        <v>0.2199546485260771</v>
      </c>
      <c r="I14" s="25">
        <v>0.52063601628524214</v>
      </c>
      <c r="J14" s="25">
        <v>-20.466985803895675</v>
      </c>
    </row>
    <row r="15" spans="1:11" x14ac:dyDescent="0.25">
      <c r="A15" s="11">
        <v>2022</v>
      </c>
      <c r="B15" s="12">
        <v>739012000</v>
      </c>
      <c r="C15" s="13">
        <v>671</v>
      </c>
      <c r="D15" s="14">
        <v>1101359.1654247392</v>
      </c>
      <c r="G15" s="11">
        <v>2022</v>
      </c>
      <c r="H15" s="25">
        <v>0.24721189591078066</v>
      </c>
      <c r="I15" s="25">
        <v>0.48432943142469209</v>
      </c>
      <c r="J15" s="25"/>
    </row>
    <row r="16" spans="1:11" x14ac:dyDescent="0.25">
      <c r="A16" s="11">
        <v>2023</v>
      </c>
      <c r="B16" s="12">
        <v>965776000</v>
      </c>
      <c r="C16" s="13">
        <v>831</v>
      </c>
      <c r="D16" s="14">
        <v>1162185.3188929001</v>
      </c>
      <c r="G16" s="11">
        <v>2023</v>
      </c>
      <c r="H16" s="25">
        <v>0.23845007451564829</v>
      </c>
      <c r="I16" s="25">
        <v>0.30684752074391214</v>
      </c>
      <c r="J16" s="25"/>
    </row>
    <row r="17" spans="1:21" x14ac:dyDescent="0.25">
      <c r="A17" s="11">
        <v>2024</v>
      </c>
      <c r="B17" s="12">
        <v>1281015000</v>
      </c>
      <c r="C17" s="13">
        <v>982</v>
      </c>
      <c r="D17" s="14">
        <v>1304495.9266802445</v>
      </c>
      <c r="G17" s="11">
        <v>2024</v>
      </c>
      <c r="H17" s="25">
        <v>0.18170878459687123</v>
      </c>
      <c r="I17" s="25">
        <v>0.32641005781879029</v>
      </c>
      <c r="J17" s="25">
        <v>5.677049839228296</v>
      </c>
    </row>
    <row r="18" spans="1:21" x14ac:dyDescent="0.25">
      <c r="A18" s="11">
        <v>2025</v>
      </c>
      <c r="B18" s="12">
        <v>1638159000</v>
      </c>
      <c r="C18" s="13">
        <v>1136</v>
      </c>
      <c r="D18" s="14">
        <v>1442041.3732394367</v>
      </c>
      <c r="G18" s="11">
        <v>2025</v>
      </c>
      <c r="H18" s="25">
        <v>0.15682281059063136</v>
      </c>
      <c r="I18" s="25">
        <v>0.27879767215840562</v>
      </c>
      <c r="J18" s="25">
        <v>0.76486079759217451</v>
      </c>
    </row>
    <row r="20" spans="1:21" x14ac:dyDescent="0.25">
      <c r="A20" t="s">
        <v>21</v>
      </c>
      <c r="G20" t="s">
        <v>41</v>
      </c>
    </row>
    <row r="21" spans="1:21" x14ac:dyDescent="0.25">
      <c r="A21" s="8" t="s">
        <v>0</v>
      </c>
      <c r="B21" s="9" t="s">
        <v>14</v>
      </c>
      <c r="C21" s="9" t="s">
        <v>15</v>
      </c>
      <c r="G21" s="8" t="s">
        <v>28</v>
      </c>
      <c r="H21" s="18" t="s">
        <v>40</v>
      </c>
      <c r="I21" s="19" t="s">
        <v>25</v>
      </c>
      <c r="J21" s="20" t="s">
        <v>26</v>
      </c>
      <c r="K21" s="21" t="s">
        <v>27</v>
      </c>
      <c r="L21" s="21" t="s">
        <v>30</v>
      </c>
      <c r="M21" s="21" t="s">
        <v>31</v>
      </c>
      <c r="N21" s="23" t="s">
        <v>32</v>
      </c>
      <c r="O21" s="23" t="s">
        <v>33</v>
      </c>
      <c r="P21" s="23" t="s">
        <v>34</v>
      </c>
      <c r="Q21" s="22" t="s">
        <v>35</v>
      </c>
      <c r="R21" s="20" t="s">
        <v>36</v>
      </c>
      <c r="S21" s="22" t="s">
        <v>37</v>
      </c>
      <c r="T21" s="22" t="s">
        <v>38</v>
      </c>
      <c r="U21" s="24" t="s">
        <v>39</v>
      </c>
    </row>
    <row r="22" spans="1:21" x14ac:dyDescent="0.25">
      <c r="A22" s="8">
        <v>2020</v>
      </c>
      <c r="B22" s="10">
        <v>3.3596711187399403E-2</v>
      </c>
      <c r="C22" s="10">
        <v>1.8502625124842326E-2</v>
      </c>
      <c r="G22" s="8">
        <v>2025</v>
      </c>
      <c r="H22" s="18">
        <v>0.76486079759217451</v>
      </c>
      <c r="I22" s="19">
        <v>1638159000</v>
      </c>
      <c r="J22" s="20">
        <v>0.27879767215840562</v>
      </c>
      <c r="K22" s="21">
        <v>117275000</v>
      </c>
      <c r="L22" s="21">
        <v>161180000</v>
      </c>
      <c r="M22" s="21">
        <v>1476979000</v>
      </c>
      <c r="N22" s="20">
        <v>9.839093763181718E-2</v>
      </c>
      <c r="O22" s="20">
        <v>7.1589509931575632E-2</v>
      </c>
      <c r="P22" s="20">
        <v>0.90160906236818283</v>
      </c>
      <c r="Q22" s="22">
        <v>1136</v>
      </c>
      <c r="R22" s="20">
        <v>0.15682281059063136</v>
      </c>
      <c r="S22" s="22">
        <v>811</v>
      </c>
      <c r="T22" s="22">
        <v>325</v>
      </c>
      <c r="U22" s="24">
        <v>1442041.3732394367</v>
      </c>
    </row>
    <row r="23" spans="1:21" x14ac:dyDescent="0.25">
      <c r="A23" s="8">
        <v>2021</v>
      </c>
      <c r="B23" s="10">
        <v>-0.22340100747977409</v>
      </c>
      <c r="C23" s="10">
        <v>-0.23686821618234258</v>
      </c>
      <c r="G23" s="8" t="s">
        <v>29</v>
      </c>
      <c r="H23" s="18">
        <v>0.76486079759217451</v>
      </c>
      <c r="I23" s="19">
        <v>1638159000</v>
      </c>
      <c r="J23" s="20">
        <v>0.27879767215840562</v>
      </c>
      <c r="K23" s="21">
        <v>117275000</v>
      </c>
      <c r="L23" s="21">
        <v>161180000</v>
      </c>
      <c r="M23" s="21">
        <v>1476979000</v>
      </c>
      <c r="N23" s="20">
        <v>9.839093763181718E-2</v>
      </c>
      <c r="O23" s="20">
        <v>7.1589509931575632E-2</v>
      </c>
      <c r="P23" s="20">
        <v>0.90160906236818283</v>
      </c>
      <c r="Q23" s="22">
        <v>1136</v>
      </c>
      <c r="R23" s="20">
        <v>0.15682281059063136</v>
      </c>
      <c r="S23" s="22">
        <v>811</v>
      </c>
      <c r="T23" s="22">
        <v>325</v>
      </c>
      <c r="U23" s="24">
        <v>1442041.3732394367</v>
      </c>
    </row>
    <row r="24" spans="1:21" x14ac:dyDescent="0.25">
      <c r="A24" s="8">
        <v>2022</v>
      </c>
      <c r="B24" s="10">
        <v>-3.5344486963675825E-3</v>
      </c>
      <c r="C24" s="10">
        <v>-2.6052350976709444E-2</v>
      </c>
    </row>
    <row r="25" spans="1:21" x14ac:dyDescent="0.25">
      <c r="A25" s="8">
        <v>2023</v>
      </c>
      <c r="B25" s="10">
        <v>4.7859959245208E-2</v>
      </c>
      <c r="C25" s="10">
        <v>1.0304666920693826E-2</v>
      </c>
    </row>
    <row r="26" spans="1:21" x14ac:dyDescent="0.25">
      <c r="A26" s="8">
        <v>2024</v>
      </c>
      <c r="B26" s="10">
        <v>8.2819482988099283E-2</v>
      </c>
      <c r="C26" s="10">
        <v>5.1872928888420509E-2</v>
      </c>
    </row>
    <row r="27" spans="1:21" x14ac:dyDescent="0.25">
      <c r="A27" s="8">
        <v>2025</v>
      </c>
      <c r="B27" s="10">
        <v>9.839093763181718E-2</v>
      </c>
      <c r="C27" s="10">
        <v>7.1589509931575632E-2</v>
      </c>
    </row>
    <row r="29" spans="1:21" x14ac:dyDescent="0.25">
      <c r="A29" t="s">
        <v>51</v>
      </c>
      <c r="H29" t="s">
        <v>59</v>
      </c>
    </row>
    <row r="30" spans="1:21" x14ac:dyDescent="0.25">
      <c r="A30" s="6" t="s">
        <v>0</v>
      </c>
      <c r="B30" s="33" t="s">
        <v>46</v>
      </c>
      <c r="C30" t="s">
        <v>48</v>
      </c>
      <c r="D30" t="s">
        <v>47</v>
      </c>
      <c r="E30" s="38" t="s">
        <v>49</v>
      </c>
      <c r="F30" s="38" t="s">
        <v>50</v>
      </c>
      <c r="H30" s="6" t="s">
        <v>0</v>
      </c>
      <c r="I30" t="s">
        <v>48</v>
      </c>
      <c r="J30" t="s">
        <v>47</v>
      </c>
    </row>
    <row r="31" spans="1:21" x14ac:dyDescent="0.25">
      <c r="A31" s="1">
        <v>2020</v>
      </c>
      <c r="B31" s="35">
        <v>441</v>
      </c>
      <c r="C31">
        <v>0</v>
      </c>
      <c r="D31">
        <v>0</v>
      </c>
      <c r="E31" s="38">
        <v>0</v>
      </c>
      <c r="F31" s="38">
        <v>0</v>
      </c>
      <c r="H31" s="1">
        <v>2020</v>
      </c>
      <c r="I31" s="45">
        <v>0</v>
      </c>
      <c r="J31" s="45">
        <v>0</v>
      </c>
    </row>
    <row r="32" spans="1:21" x14ac:dyDescent="0.25">
      <c r="A32" s="1">
        <v>2021</v>
      </c>
      <c r="B32" s="35">
        <v>538</v>
      </c>
      <c r="C32">
        <v>271</v>
      </c>
      <c r="D32">
        <v>267</v>
      </c>
      <c r="E32" s="38">
        <v>0.50371747211895912</v>
      </c>
      <c r="F32" s="38">
        <v>0.49628252788104088</v>
      </c>
      <c r="H32" s="1">
        <v>2021</v>
      </c>
      <c r="I32" s="45">
        <v>271</v>
      </c>
      <c r="J32" s="45">
        <v>267</v>
      </c>
    </row>
    <row r="33" spans="1:10" x14ac:dyDescent="0.25">
      <c r="A33" s="1">
        <v>2022</v>
      </c>
      <c r="B33" s="35">
        <v>671</v>
      </c>
      <c r="C33">
        <v>396</v>
      </c>
      <c r="D33">
        <v>274</v>
      </c>
      <c r="E33" s="38">
        <v>0.5901639344262295</v>
      </c>
      <c r="F33" s="38">
        <v>0.40834575260804767</v>
      </c>
      <c r="H33" s="1">
        <v>2022</v>
      </c>
      <c r="I33" s="45">
        <v>396</v>
      </c>
      <c r="J33" s="45">
        <v>274</v>
      </c>
    </row>
    <row r="34" spans="1:10" x14ac:dyDescent="0.25">
      <c r="A34" s="1">
        <v>2023</v>
      </c>
      <c r="B34" s="35">
        <v>831</v>
      </c>
      <c r="C34">
        <v>542</v>
      </c>
      <c r="D34">
        <v>289</v>
      </c>
      <c r="E34" s="38">
        <v>0.65222623345367026</v>
      </c>
      <c r="F34" s="38">
        <v>0.34777376654632974</v>
      </c>
      <c r="H34" s="1">
        <v>2023</v>
      </c>
      <c r="I34" s="45">
        <v>542</v>
      </c>
      <c r="J34" s="45">
        <v>289</v>
      </c>
    </row>
    <row r="35" spans="1:10" x14ac:dyDescent="0.25">
      <c r="A35" s="1">
        <v>2024</v>
      </c>
      <c r="B35" s="35">
        <v>982</v>
      </c>
      <c r="C35">
        <v>670</v>
      </c>
      <c r="D35">
        <v>312</v>
      </c>
      <c r="E35" s="38">
        <v>0.68228105906313641</v>
      </c>
      <c r="F35" s="38">
        <v>0.31771894093686354</v>
      </c>
      <c r="H35" s="1">
        <v>2024</v>
      </c>
      <c r="I35" s="45">
        <v>670</v>
      </c>
      <c r="J35" s="45">
        <v>312</v>
      </c>
    </row>
    <row r="36" spans="1:10" x14ac:dyDescent="0.25">
      <c r="A36" s="1">
        <v>2025</v>
      </c>
      <c r="B36" s="35">
        <v>1136</v>
      </c>
      <c r="C36">
        <v>811</v>
      </c>
      <c r="D36">
        <v>325</v>
      </c>
      <c r="E36" s="38">
        <v>0.71390845070422537</v>
      </c>
      <c r="F36" s="38">
        <v>0.28609154929577463</v>
      </c>
      <c r="H36" s="1">
        <v>2025</v>
      </c>
      <c r="I36" s="45">
        <v>811</v>
      </c>
      <c r="J36" s="45">
        <v>325</v>
      </c>
    </row>
    <row r="38" spans="1:10" x14ac:dyDescent="0.25">
      <c r="A38" t="s">
        <v>57</v>
      </c>
    </row>
    <row r="39" spans="1:10" x14ac:dyDescent="0.25">
      <c r="A39" s="52" t="s">
        <v>0</v>
      </c>
      <c r="B39" s="44" t="s">
        <v>53</v>
      </c>
      <c r="C39" s="41" t="s">
        <v>54</v>
      </c>
      <c r="D39" s="41" t="s">
        <v>55</v>
      </c>
      <c r="E39" s="41" t="s">
        <v>56</v>
      </c>
    </row>
    <row r="40" spans="1:10" x14ac:dyDescent="0.25">
      <c r="A40" s="11">
        <v>2020</v>
      </c>
      <c r="B40" s="43">
        <v>327413000</v>
      </c>
      <c r="C40" s="43">
        <v>11000000</v>
      </c>
      <c r="D40" s="43">
        <v>6058000</v>
      </c>
      <c r="E40" s="43">
        <v>316413000</v>
      </c>
    </row>
    <row r="41" spans="1:10" x14ac:dyDescent="0.25">
      <c r="A41" s="11">
        <v>2021</v>
      </c>
      <c r="B41" s="43">
        <v>497876000</v>
      </c>
      <c r="C41" s="43">
        <v>-111226000</v>
      </c>
      <c r="D41" s="43">
        <v>-117931000</v>
      </c>
      <c r="E41" s="43">
        <v>609102000</v>
      </c>
    </row>
    <row r="42" spans="1:10" x14ac:dyDescent="0.25">
      <c r="A42" s="11">
        <v>2022</v>
      </c>
      <c r="B42" s="43">
        <v>739012000</v>
      </c>
      <c r="C42" s="43">
        <v>-2612000</v>
      </c>
      <c r="D42" s="43">
        <v>-19253000</v>
      </c>
      <c r="E42" s="43">
        <v>741624000</v>
      </c>
    </row>
    <row r="43" spans="1:10" x14ac:dyDescent="0.25">
      <c r="A43" s="11">
        <v>2023</v>
      </c>
      <c r="B43" s="43">
        <v>965776000</v>
      </c>
      <c r="C43" s="43">
        <v>46222000</v>
      </c>
      <c r="D43" s="43">
        <v>9952000</v>
      </c>
      <c r="E43" s="43">
        <v>919554000</v>
      </c>
    </row>
    <row r="44" spans="1:10" x14ac:dyDescent="0.25">
      <c r="A44" s="11">
        <v>2024</v>
      </c>
      <c r="B44" s="43">
        <v>1281015000</v>
      </c>
      <c r="C44" s="43">
        <v>106093000</v>
      </c>
      <c r="D44" s="43">
        <v>66450000</v>
      </c>
      <c r="E44" s="43">
        <v>1174922000</v>
      </c>
    </row>
    <row r="45" spans="1:10" x14ac:dyDescent="0.25">
      <c r="A45" s="11">
        <v>2025</v>
      </c>
      <c r="B45" s="43">
        <v>1638159000</v>
      </c>
      <c r="C45" s="43">
        <v>161180000</v>
      </c>
      <c r="D45" s="43">
        <v>117275000</v>
      </c>
      <c r="E45" s="43">
        <v>1476979000</v>
      </c>
    </row>
    <row r="48" spans="1:10" x14ac:dyDescent="0.25">
      <c r="A48" s="50" t="s">
        <v>0</v>
      </c>
      <c r="B48" s="51" t="s">
        <v>58</v>
      </c>
    </row>
    <row r="49" spans="1:2" x14ac:dyDescent="0.25">
      <c r="A49" s="8">
        <v>2020</v>
      </c>
      <c r="B49" s="10"/>
    </row>
    <row r="50" spans="1:2" x14ac:dyDescent="0.25">
      <c r="A50" s="8">
        <v>2021</v>
      </c>
      <c r="B50" s="10">
        <v>8.4000000000000005E-2</v>
      </c>
    </row>
    <row r="51" spans="1:2" x14ac:dyDescent="0.25">
      <c r="A51" s="8">
        <v>2022</v>
      </c>
      <c r="B51" s="10">
        <v>0.01</v>
      </c>
    </row>
    <row r="52" spans="1:2" x14ac:dyDescent="0.25">
      <c r="A52" s="8">
        <v>2023</v>
      </c>
      <c r="B52" s="10">
        <v>2.8000000000000001E-2</v>
      </c>
    </row>
    <row r="53" spans="1:2" x14ac:dyDescent="0.25">
      <c r="A53" s="8">
        <v>2024</v>
      </c>
      <c r="B53" s="10">
        <v>5.2999999999999999E-2</v>
      </c>
    </row>
    <row r="54" spans="1:2" x14ac:dyDescent="0.25">
      <c r="A54" s="8">
        <v>2025</v>
      </c>
      <c r="B54" s="10">
        <v>5.6000000000000001E-2</v>
      </c>
    </row>
  </sheetData>
  <customSheetViews>
    <customSheetView guid="{6D03D69D-4C38-4796-9B98-7AD9E375DE36}" topLeftCell="K4">
      <selection activeCell="R22" sqref="R22"/>
    </customSheetView>
  </customSheetView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232AAF-8EC4-42A2-916A-A17EC78C84D8}">
  <dimension ref="A3:D9"/>
  <sheetViews>
    <sheetView workbookViewId="0"/>
  </sheetViews>
  <sheetFormatPr defaultRowHeight="15" x14ac:dyDescent="0.25"/>
  <cols>
    <col min="1" max="1" width="9.5703125" style="1" bestFit="1" customWidth="1"/>
    <col min="2" max="2" width="20.42578125" style="1" bestFit="1" customWidth="1"/>
    <col min="3" max="3" width="18.7109375" style="1" bestFit="1" customWidth="1"/>
    <col min="4" max="4" width="21.140625" style="5" bestFit="1" customWidth="1"/>
  </cols>
  <sheetData>
    <row r="3" spans="1:4" x14ac:dyDescent="0.25">
      <c r="A3" s="6" t="s">
        <v>0</v>
      </c>
      <c r="B3" s="7" t="s">
        <v>17</v>
      </c>
      <c r="C3" s="7" t="s">
        <v>18</v>
      </c>
      <c r="D3" s="7" t="s">
        <v>24</v>
      </c>
    </row>
    <row r="4" spans="1:4" x14ac:dyDescent="0.25">
      <c r="A4" s="1">
        <v>2020</v>
      </c>
      <c r="B4" s="7">
        <v>0</v>
      </c>
      <c r="C4" s="7">
        <v>0</v>
      </c>
      <c r="D4" s="7"/>
    </row>
    <row r="5" spans="1:4" x14ac:dyDescent="0.25">
      <c r="A5" s="1">
        <v>2021</v>
      </c>
      <c r="B5" s="7">
        <v>0.2199546485260771</v>
      </c>
      <c r="C5" s="7">
        <v>0.52063601628524214</v>
      </c>
      <c r="D5" s="7">
        <v>-20.466985803895675</v>
      </c>
    </row>
    <row r="6" spans="1:4" x14ac:dyDescent="0.25">
      <c r="A6" s="1">
        <v>2022</v>
      </c>
      <c r="B6" s="7">
        <v>0.24721189591078066</v>
      </c>
      <c r="C6" s="7">
        <v>0.48432943142469209</v>
      </c>
      <c r="D6" s="7"/>
    </row>
    <row r="7" spans="1:4" x14ac:dyDescent="0.25">
      <c r="A7" s="1">
        <v>2023</v>
      </c>
      <c r="B7" s="7">
        <v>0.23845007451564829</v>
      </c>
      <c r="C7" s="7">
        <v>0.30684752074391214</v>
      </c>
      <c r="D7" s="7"/>
    </row>
    <row r="8" spans="1:4" x14ac:dyDescent="0.25">
      <c r="A8" s="1">
        <v>2024</v>
      </c>
      <c r="B8" s="7">
        <v>0.18170878459687123</v>
      </c>
      <c r="C8" s="7">
        <v>0.32641005781879029</v>
      </c>
      <c r="D8" s="7">
        <v>5.677049839228296</v>
      </c>
    </row>
    <row r="9" spans="1:4" x14ac:dyDescent="0.25">
      <c r="A9" s="1">
        <v>2025</v>
      </c>
      <c r="B9" s="7">
        <v>0.15682281059063136</v>
      </c>
      <c r="C9" s="7">
        <v>0.27879767215840562</v>
      </c>
      <c r="D9" s="7">
        <v>0.76486079759217451</v>
      </c>
    </row>
  </sheetData>
  <customSheetViews>
    <customSheetView guid="{6D03D69D-4C38-4796-9B98-7AD9E375DE36}">
      <selection activeCell="A4" sqref="A4"/>
    </customSheetView>
  </customSheetView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53C20-E3D6-4214-BF87-C9CBF187F4A8}">
  <dimension ref="A3:D10"/>
  <sheetViews>
    <sheetView workbookViewId="0"/>
  </sheetViews>
  <sheetFormatPr defaultRowHeight="15" x14ac:dyDescent="0.25"/>
  <cols>
    <col min="1" max="1" width="9.5703125" style="1" bestFit="1" customWidth="1"/>
    <col min="2" max="2" width="20.7109375" style="3" bestFit="1" customWidth="1"/>
    <col min="3" max="3" width="15.28515625" style="3" bestFit="1" customWidth="1"/>
    <col min="4" max="4" width="14" style="5" bestFit="1" customWidth="1"/>
  </cols>
  <sheetData>
    <row r="3" spans="1:4" x14ac:dyDescent="0.25">
      <c r="A3" s="26" t="s">
        <v>0</v>
      </c>
      <c r="B3" s="27" t="s">
        <v>4</v>
      </c>
      <c r="C3" s="27" t="s">
        <v>1</v>
      </c>
      <c r="D3" s="28" t="s">
        <v>13</v>
      </c>
    </row>
    <row r="4" spans="1:4" x14ac:dyDescent="0.25">
      <c r="A4" s="26">
        <v>2020</v>
      </c>
      <c r="B4" s="27">
        <v>316413000</v>
      </c>
      <c r="C4" s="27">
        <v>327413000</v>
      </c>
      <c r="D4" s="28">
        <v>0.96640328881260062</v>
      </c>
    </row>
    <row r="5" spans="1:4" x14ac:dyDescent="0.25">
      <c r="A5" s="26">
        <v>2021</v>
      </c>
      <c r="B5" s="27">
        <v>609102000</v>
      </c>
      <c r="C5" s="27">
        <v>497876000</v>
      </c>
      <c r="D5" s="28">
        <v>1.2234010074797741</v>
      </c>
    </row>
    <row r="6" spans="1:4" x14ac:dyDescent="0.25">
      <c r="A6" s="26">
        <v>2022</v>
      </c>
      <c r="B6" s="27">
        <v>741624000</v>
      </c>
      <c r="C6" s="27">
        <v>739012000</v>
      </c>
      <c r="D6" s="28">
        <v>1.0035344486963675</v>
      </c>
    </row>
    <row r="7" spans="1:4" x14ac:dyDescent="0.25">
      <c r="A7" s="26">
        <v>2023</v>
      </c>
      <c r="B7" s="27">
        <v>919554000</v>
      </c>
      <c r="C7" s="27">
        <v>965776000</v>
      </c>
      <c r="D7" s="28">
        <v>0.95214004075479197</v>
      </c>
    </row>
    <row r="8" spans="1:4" x14ac:dyDescent="0.25">
      <c r="A8" s="26">
        <v>2024</v>
      </c>
      <c r="B8" s="27">
        <v>1174922000</v>
      </c>
      <c r="C8" s="27">
        <v>1281015000</v>
      </c>
      <c r="D8" s="28">
        <v>0.91718051701190073</v>
      </c>
    </row>
    <row r="9" spans="1:4" x14ac:dyDescent="0.25">
      <c r="A9" s="26">
        <v>2025</v>
      </c>
      <c r="B9" s="27">
        <v>1476979000</v>
      </c>
      <c r="C9" s="27">
        <v>1638159000</v>
      </c>
      <c r="D9" s="28">
        <v>0.90160906236818283</v>
      </c>
    </row>
    <row r="10" spans="1:4" x14ac:dyDescent="0.25">
      <c r="A10"/>
      <c r="B10"/>
      <c r="C10"/>
      <c r="D10"/>
    </row>
  </sheetData>
  <customSheetViews>
    <customSheetView guid="{6D03D69D-4C38-4796-9B98-7AD9E375DE36}">
      <selection activeCell="G15" sqref="G15"/>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C5D1C1-5DA5-4674-957F-E2864D52CE10}">
  <dimension ref="A3:C9"/>
  <sheetViews>
    <sheetView workbookViewId="0"/>
  </sheetViews>
  <sheetFormatPr defaultRowHeight="15" x14ac:dyDescent="0.25"/>
  <cols>
    <col min="1" max="1" width="9.5703125" style="1" bestFit="1" customWidth="1"/>
    <col min="2" max="2" width="16.85546875" style="1" bestFit="1" customWidth="1"/>
    <col min="3" max="3" width="16.7109375" style="1" bestFit="1" customWidth="1"/>
  </cols>
  <sheetData>
    <row r="3" spans="1:3" x14ac:dyDescent="0.25">
      <c r="A3" s="8" t="s">
        <v>0</v>
      </c>
      <c r="B3" s="9" t="s">
        <v>14</v>
      </c>
      <c r="C3" s="9" t="s">
        <v>15</v>
      </c>
    </row>
    <row r="4" spans="1:3" x14ac:dyDescent="0.25">
      <c r="A4" s="8">
        <v>2020</v>
      </c>
      <c r="B4" s="10">
        <v>3.3596711187399403E-2</v>
      </c>
      <c r="C4" s="10">
        <v>1.8502625124842326E-2</v>
      </c>
    </row>
    <row r="5" spans="1:3" x14ac:dyDescent="0.25">
      <c r="A5" s="8">
        <v>2021</v>
      </c>
      <c r="B5" s="10">
        <v>-0.22340100747977409</v>
      </c>
      <c r="C5" s="10">
        <v>-0.23686821618234258</v>
      </c>
    </row>
    <row r="6" spans="1:3" x14ac:dyDescent="0.25">
      <c r="A6" s="8">
        <v>2022</v>
      </c>
      <c r="B6" s="10">
        <v>-3.5344486963675825E-3</v>
      </c>
      <c r="C6" s="10">
        <v>-2.6052350976709444E-2</v>
      </c>
    </row>
    <row r="7" spans="1:3" x14ac:dyDescent="0.25">
      <c r="A7" s="8">
        <v>2023</v>
      </c>
      <c r="B7" s="10">
        <v>4.7859959245208E-2</v>
      </c>
      <c r="C7" s="10">
        <v>1.0304666920693826E-2</v>
      </c>
    </row>
    <row r="8" spans="1:3" x14ac:dyDescent="0.25">
      <c r="A8" s="8">
        <v>2024</v>
      </c>
      <c r="B8" s="10">
        <v>8.2819482988099283E-2</v>
      </c>
      <c r="C8" s="10">
        <v>5.1872928888420509E-2</v>
      </c>
    </row>
    <row r="9" spans="1:3" x14ac:dyDescent="0.25">
      <c r="A9" s="8">
        <v>2025</v>
      </c>
      <c r="B9" s="10">
        <v>9.839093763181718E-2</v>
      </c>
      <c r="C9" s="10">
        <v>7.1589509931575632E-2</v>
      </c>
    </row>
  </sheetData>
  <customSheetViews>
    <customSheetView guid="{6D03D69D-4C38-4796-9B98-7AD9E375DE36}">
      <selection activeCell="H17" sqref="H17"/>
    </customSheetView>
  </customSheetView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8A116C-BC52-4BF0-A4F0-D3D73F35D1EB}">
  <dimension ref="A3:D10"/>
  <sheetViews>
    <sheetView workbookViewId="0"/>
  </sheetViews>
  <sheetFormatPr defaultRowHeight="15" x14ac:dyDescent="0.25"/>
  <cols>
    <col min="1" max="1" width="9.5703125" style="1" bestFit="1" customWidth="1"/>
    <col min="2" max="2" width="15.28515625" style="1" bestFit="1" customWidth="1"/>
    <col min="3" max="3" width="11.7109375" style="1" bestFit="1" customWidth="1"/>
    <col min="4" max="4" width="19.42578125" style="1" bestFit="1" customWidth="1"/>
  </cols>
  <sheetData>
    <row r="3" spans="1:4" x14ac:dyDescent="0.25">
      <c r="A3" s="11" t="s">
        <v>0</v>
      </c>
      <c r="B3" s="12" t="s">
        <v>1</v>
      </c>
      <c r="C3" s="13" t="s">
        <v>5</v>
      </c>
      <c r="D3" s="14" t="s">
        <v>12</v>
      </c>
    </row>
    <row r="4" spans="1:4" x14ac:dyDescent="0.25">
      <c r="A4" s="11">
        <v>2020</v>
      </c>
      <c r="B4" s="12">
        <v>327413000</v>
      </c>
      <c r="C4" s="13">
        <v>441</v>
      </c>
      <c r="D4" s="14">
        <v>742433.10657596367</v>
      </c>
    </row>
    <row r="5" spans="1:4" x14ac:dyDescent="0.25">
      <c r="A5" s="11">
        <v>2021</v>
      </c>
      <c r="B5" s="12">
        <v>497876000</v>
      </c>
      <c r="C5" s="13">
        <v>538</v>
      </c>
      <c r="D5" s="14">
        <v>925420.07434944238</v>
      </c>
    </row>
    <row r="6" spans="1:4" x14ac:dyDescent="0.25">
      <c r="A6" s="11">
        <v>2022</v>
      </c>
      <c r="B6" s="12">
        <v>739012000</v>
      </c>
      <c r="C6" s="13">
        <v>671</v>
      </c>
      <c r="D6" s="14">
        <v>1101359.1654247392</v>
      </c>
    </row>
    <row r="7" spans="1:4" x14ac:dyDescent="0.25">
      <c r="A7" s="11">
        <v>2023</v>
      </c>
      <c r="B7" s="12">
        <v>965776000</v>
      </c>
      <c r="C7" s="13">
        <v>831</v>
      </c>
      <c r="D7" s="14">
        <v>1162185.3188929001</v>
      </c>
    </row>
    <row r="8" spans="1:4" x14ac:dyDescent="0.25">
      <c r="A8" s="11">
        <v>2024</v>
      </c>
      <c r="B8" s="12">
        <v>1281015000</v>
      </c>
      <c r="C8" s="13">
        <v>982</v>
      </c>
      <c r="D8" s="14">
        <v>1304495.9266802445</v>
      </c>
    </row>
    <row r="9" spans="1:4" x14ac:dyDescent="0.25">
      <c r="A9" s="11">
        <v>2025</v>
      </c>
      <c r="B9" s="12">
        <v>1638159000</v>
      </c>
      <c r="C9" s="13">
        <v>1136</v>
      </c>
      <c r="D9" s="14">
        <v>1442041.3732394367</v>
      </c>
    </row>
    <row r="10" spans="1:4" x14ac:dyDescent="0.25">
      <c r="A10"/>
      <c r="B10"/>
      <c r="C10"/>
      <c r="D10"/>
    </row>
  </sheetData>
  <customSheetViews>
    <customSheetView guid="{6D03D69D-4C38-4796-9B98-7AD9E375DE36}">
      <selection activeCell="J16" sqref="J16"/>
    </customSheetView>
  </customSheetView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94524-600E-4E22-AC55-FAC2E54CEA59}">
  <dimension ref="A3:E9"/>
  <sheetViews>
    <sheetView workbookViewId="0"/>
  </sheetViews>
  <sheetFormatPr defaultRowHeight="15" x14ac:dyDescent="0.25"/>
  <cols>
    <col min="1" max="1" width="9.5703125" style="1" bestFit="1" customWidth="1"/>
    <col min="2" max="2" width="15.28515625" style="1" bestFit="1" customWidth="1"/>
    <col min="3" max="3" width="11.7109375" style="1" bestFit="1" customWidth="1"/>
    <col min="4" max="4" width="21.140625" style="1" bestFit="1" customWidth="1"/>
    <col min="5" max="5" width="20" style="1" bestFit="1" customWidth="1"/>
  </cols>
  <sheetData>
    <row r="3" spans="1:5" x14ac:dyDescent="0.25">
      <c r="A3" s="6" t="s">
        <v>0</v>
      </c>
      <c r="B3" s="3" t="s">
        <v>1</v>
      </c>
      <c r="C3" s="1" t="s">
        <v>5</v>
      </c>
      <c r="D3" s="7" t="s">
        <v>24</v>
      </c>
      <c r="E3"/>
    </row>
    <row r="4" spans="1:5" x14ac:dyDescent="0.25">
      <c r="A4" s="1">
        <v>2020</v>
      </c>
      <c r="B4" s="3">
        <v>327413000</v>
      </c>
      <c r="C4" s="1">
        <v>441</v>
      </c>
      <c r="D4" s="7"/>
      <c r="E4"/>
    </row>
    <row r="5" spans="1:5" x14ac:dyDescent="0.25">
      <c r="A5" s="1">
        <v>2021</v>
      </c>
      <c r="B5" s="3">
        <v>497876000</v>
      </c>
      <c r="C5" s="1">
        <v>538</v>
      </c>
      <c r="D5" s="7">
        <v>-20.466985803895675</v>
      </c>
      <c r="E5"/>
    </row>
    <row r="6" spans="1:5" x14ac:dyDescent="0.25">
      <c r="A6" s="1">
        <v>2022</v>
      </c>
      <c r="B6" s="3">
        <v>739012000</v>
      </c>
      <c r="C6" s="1">
        <v>671</v>
      </c>
      <c r="D6" s="7"/>
      <c r="E6"/>
    </row>
    <row r="7" spans="1:5" x14ac:dyDescent="0.25">
      <c r="A7" s="1">
        <v>2023</v>
      </c>
      <c r="B7" s="3">
        <v>965776000</v>
      </c>
      <c r="C7" s="1">
        <v>831</v>
      </c>
      <c r="D7" s="7"/>
      <c r="E7"/>
    </row>
    <row r="8" spans="1:5" x14ac:dyDescent="0.25">
      <c r="A8" s="1">
        <v>2024</v>
      </c>
      <c r="B8" s="3">
        <v>1281015000</v>
      </c>
      <c r="C8" s="1">
        <v>982</v>
      </c>
      <c r="D8" s="7">
        <v>5.677049839228296</v>
      </c>
      <c r="E8"/>
    </row>
    <row r="9" spans="1:5" x14ac:dyDescent="0.25">
      <c r="A9" s="1">
        <v>2025</v>
      </c>
      <c r="B9" s="3">
        <v>1638159000</v>
      </c>
      <c r="C9" s="1">
        <v>1136</v>
      </c>
      <c r="D9" s="7">
        <v>0.76486079759217451</v>
      </c>
      <c r="E9"/>
    </row>
  </sheetData>
  <customSheetViews>
    <customSheetView guid="{6D03D69D-4C38-4796-9B98-7AD9E375DE36}">
      <selection activeCell="D4" sqref="D4"/>
    </customSheetView>
  </customSheetView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1A618-592A-4EBE-AD51-A7878381BE8D}">
  <dimension ref="A3:F10"/>
  <sheetViews>
    <sheetView workbookViewId="0"/>
  </sheetViews>
  <sheetFormatPr defaultRowHeight="15" x14ac:dyDescent="0.25"/>
  <cols>
    <col min="1" max="1" width="7.28515625" bestFit="1" customWidth="1"/>
    <col min="2" max="2" width="12.140625" bestFit="1" customWidth="1"/>
    <col min="3" max="3" width="16.42578125" style="37" bestFit="1" customWidth="1"/>
    <col min="4" max="4" width="16.5703125" style="37" bestFit="1" customWidth="1"/>
    <col min="5" max="5" width="26" style="37" bestFit="1" customWidth="1"/>
    <col min="6" max="6" width="26.140625" style="37" bestFit="1" customWidth="1"/>
  </cols>
  <sheetData>
    <row r="3" spans="1:6" x14ac:dyDescent="0.25">
      <c r="A3" s="33" t="s">
        <v>0</v>
      </c>
      <c r="B3" t="s">
        <v>46</v>
      </c>
      <c r="C3" t="s">
        <v>48</v>
      </c>
      <c r="D3" t="s">
        <v>47</v>
      </c>
      <c r="E3" s="38" t="s">
        <v>49</v>
      </c>
      <c r="F3" s="38" t="s">
        <v>50</v>
      </c>
    </row>
    <row r="4" spans="1:6" x14ac:dyDescent="0.25">
      <c r="A4" s="34">
        <v>2020</v>
      </c>
      <c r="B4" s="35">
        <v>441</v>
      </c>
      <c r="C4">
        <v>0</v>
      </c>
      <c r="D4">
        <v>0</v>
      </c>
      <c r="E4" s="38">
        <v>0</v>
      </c>
      <c r="F4" s="38">
        <v>0</v>
      </c>
    </row>
    <row r="5" spans="1:6" x14ac:dyDescent="0.25">
      <c r="A5" s="34">
        <v>2021</v>
      </c>
      <c r="B5" s="35">
        <v>538</v>
      </c>
      <c r="C5">
        <v>271</v>
      </c>
      <c r="D5">
        <v>267</v>
      </c>
      <c r="E5" s="38">
        <v>0.50371747211895912</v>
      </c>
      <c r="F5" s="38">
        <v>0.49628252788104088</v>
      </c>
    </row>
    <row r="6" spans="1:6" x14ac:dyDescent="0.25">
      <c r="A6" s="34">
        <v>2022</v>
      </c>
      <c r="B6" s="35">
        <v>671</v>
      </c>
      <c r="C6">
        <v>396</v>
      </c>
      <c r="D6">
        <v>274</v>
      </c>
      <c r="E6" s="38">
        <v>0.5901639344262295</v>
      </c>
      <c r="F6" s="38">
        <v>0.40834575260804767</v>
      </c>
    </row>
    <row r="7" spans="1:6" x14ac:dyDescent="0.25">
      <c r="A7" s="34">
        <v>2023</v>
      </c>
      <c r="B7" s="35">
        <v>831</v>
      </c>
      <c r="C7">
        <v>542</v>
      </c>
      <c r="D7">
        <v>289</v>
      </c>
      <c r="E7" s="38">
        <v>0.65222623345367026</v>
      </c>
      <c r="F7" s="38">
        <v>0.34777376654632974</v>
      </c>
    </row>
    <row r="8" spans="1:6" x14ac:dyDescent="0.25">
      <c r="A8" s="34">
        <v>2024</v>
      </c>
      <c r="B8" s="35">
        <v>982</v>
      </c>
      <c r="C8">
        <v>670</v>
      </c>
      <c r="D8">
        <v>312</v>
      </c>
      <c r="E8" s="38">
        <v>0.68228105906313641</v>
      </c>
      <c r="F8" s="38">
        <v>0.31771894093686354</v>
      </c>
    </row>
    <row r="9" spans="1:6" x14ac:dyDescent="0.25">
      <c r="A9" s="34">
        <v>2025</v>
      </c>
      <c r="B9" s="35">
        <v>1136</v>
      </c>
      <c r="C9">
        <v>811</v>
      </c>
      <c r="D9">
        <v>325</v>
      </c>
      <c r="E9" s="38">
        <v>0.71390845070422537</v>
      </c>
      <c r="F9" s="38">
        <v>0.28609154929577463</v>
      </c>
    </row>
    <row r="10" spans="1:6" x14ac:dyDescent="0.25">
      <c r="C10"/>
      <c r="D10"/>
      <c r="E10"/>
      <c r="F10"/>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CF419-545F-4E23-887B-7B2FE4E7E23B}">
  <dimension ref="A3:E9"/>
  <sheetViews>
    <sheetView workbookViewId="0"/>
  </sheetViews>
  <sheetFormatPr defaultRowHeight="15" x14ac:dyDescent="0.25"/>
  <cols>
    <col min="1" max="1" width="13.42578125" bestFit="1" customWidth="1"/>
    <col min="2" max="2" width="15.85546875" bestFit="1" customWidth="1"/>
    <col min="3" max="3" width="24.140625" bestFit="1" customWidth="1"/>
    <col min="4" max="4" width="18.42578125" bestFit="1" customWidth="1"/>
    <col min="5" max="5" width="26.28515625" bestFit="1" customWidth="1"/>
  </cols>
  <sheetData>
    <row r="3" spans="1:5" x14ac:dyDescent="0.25">
      <c r="A3" s="40" t="s">
        <v>0</v>
      </c>
      <c r="B3" s="41" t="s">
        <v>53</v>
      </c>
      <c r="C3" s="41" t="s">
        <v>54</v>
      </c>
      <c r="D3" s="41" t="s">
        <v>55</v>
      </c>
      <c r="E3" s="41" t="s">
        <v>56</v>
      </c>
    </row>
    <row r="4" spans="1:5" x14ac:dyDescent="0.25">
      <c r="A4" s="42">
        <v>2020</v>
      </c>
      <c r="B4" s="43">
        <v>327413000</v>
      </c>
      <c r="C4" s="43">
        <v>11000000</v>
      </c>
      <c r="D4" s="43">
        <v>6058000</v>
      </c>
      <c r="E4" s="43">
        <v>316413000</v>
      </c>
    </row>
    <row r="5" spans="1:5" x14ac:dyDescent="0.25">
      <c r="A5" s="42">
        <v>2021</v>
      </c>
      <c r="B5" s="43">
        <v>497876000</v>
      </c>
      <c r="C5" s="43">
        <v>-111226000</v>
      </c>
      <c r="D5" s="43">
        <v>-117931000</v>
      </c>
      <c r="E5" s="43">
        <v>609102000</v>
      </c>
    </row>
    <row r="6" spans="1:5" x14ac:dyDescent="0.25">
      <c r="A6" s="42">
        <v>2022</v>
      </c>
      <c r="B6" s="43">
        <v>739012000</v>
      </c>
      <c r="C6" s="43">
        <v>-2612000</v>
      </c>
      <c r="D6" s="43">
        <v>-19253000</v>
      </c>
      <c r="E6" s="43">
        <v>741624000</v>
      </c>
    </row>
    <row r="7" spans="1:5" x14ac:dyDescent="0.25">
      <c r="A7" s="42">
        <v>2023</v>
      </c>
      <c r="B7" s="43">
        <v>965776000</v>
      </c>
      <c r="C7" s="43">
        <v>46222000</v>
      </c>
      <c r="D7" s="43">
        <v>9952000</v>
      </c>
      <c r="E7" s="43">
        <v>919554000</v>
      </c>
    </row>
    <row r="8" spans="1:5" x14ac:dyDescent="0.25">
      <c r="A8" s="42">
        <v>2024</v>
      </c>
      <c r="B8" s="43">
        <v>1281015000</v>
      </c>
      <c r="C8" s="43">
        <v>106093000</v>
      </c>
      <c r="D8" s="43">
        <v>66450000</v>
      </c>
      <c r="E8" s="43">
        <v>1174922000</v>
      </c>
    </row>
    <row r="9" spans="1:5" x14ac:dyDescent="0.25">
      <c r="A9" s="42">
        <v>2025</v>
      </c>
      <c r="B9" s="43">
        <v>1638159000</v>
      </c>
      <c r="C9" s="43">
        <v>161180000</v>
      </c>
      <c r="D9" s="43">
        <v>117275000</v>
      </c>
      <c r="E9" s="43">
        <v>1476979000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96E49-8986-4D15-9F87-B96E17CDD2A7}">
  <dimension ref="A3:B9"/>
  <sheetViews>
    <sheetView workbookViewId="0"/>
  </sheetViews>
  <sheetFormatPr defaultRowHeight="15" x14ac:dyDescent="0.25"/>
  <cols>
    <col min="1" max="1" width="7.28515625" bestFit="1" customWidth="1"/>
    <col min="2" max="2" width="26.28515625" bestFit="1" customWidth="1"/>
  </cols>
  <sheetData>
    <row r="3" spans="1:2" x14ac:dyDescent="0.25">
      <c r="A3" s="46" t="s">
        <v>0</v>
      </c>
      <c r="B3" s="47" t="s">
        <v>58</v>
      </c>
    </row>
    <row r="4" spans="1:2" x14ac:dyDescent="0.25">
      <c r="A4" s="48">
        <v>2020</v>
      </c>
      <c r="B4" s="49"/>
    </row>
    <row r="5" spans="1:2" x14ac:dyDescent="0.25">
      <c r="A5" s="48">
        <v>2021</v>
      </c>
      <c r="B5" s="49">
        <v>8.4000000000000005E-2</v>
      </c>
    </row>
    <row r="6" spans="1:2" x14ac:dyDescent="0.25">
      <c r="A6" s="48">
        <v>2022</v>
      </c>
      <c r="B6" s="49">
        <v>0.01</v>
      </c>
    </row>
    <row r="7" spans="1:2" x14ac:dyDescent="0.25">
      <c r="A7" s="48">
        <v>2023</v>
      </c>
      <c r="B7" s="49">
        <v>2.8000000000000001E-2</v>
      </c>
    </row>
    <row r="8" spans="1:2" x14ac:dyDescent="0.25">
      <c r="A8" s="48">
        <v>2024</v>
      </c>
      <c r="B8" s="49">
        <v>5.2999999999999999E-2</v>
      </c>
    </row>
    <row r="9" spans="1:2" x14ac:dyDescent="0.25">
      <c r="A9" s="48">
        <v>2025</v>
      </c>
      <c r="B9" s="49">
        <v>5.6000000000000001E-2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22F08-EFEC-4223-97F0-F1806E8E0609}">
  <dimension ref="A1:R7"/>
  <sheetViews>
    <sheetView workbookViewId="0"/>
  </sheetViews>
  <sheetFormatPr defaultRowHeight="15" x14ac:dyDescent="0.25"/>
  <cols>
    <col min="1" max="1" width="5" style="1" bestFit="1" customWidth="1"/>
    <col min="2" max="2" width="15.28515625" style="3" bestFit="1" customWidth="1"/>
    <col min="3" max="3" width="17.28515625" style="5" bestFit="1" customWidth="1"/>
    <col min="4" max="4" width="14.42578125" style="3" bestFit="1" customWidth="1"/>
    <col min="5" max="5" width="19.42578125" style="5" bestFit="1" customWidth="1"/>
    <col min="6" max="6" width="18.42578125" style="3" bestFit="1" customWidth="1"/>
    <col min="7" max="7" width="20" style="3" bestFit="1" customWidth="1"/>
    <col min="8" max="8" width="18" style="5" bestFit="1" customWidth="1"/>
    <col min="9" max="9" width="17.42578125" style="5" bestFit="1" customWidth="1"/>
    <col min="10" max="10" width="17.42578125" style="5" customWidth="1"/>
    <col min="11" max="11" width="11.28515625" style="4" bestFit="1" customWidth="1"/>
    <col min="12" max="12" width="19.28515625" style="5" bestFit="1" customWidth="1"/>
    <col min="13" max="13" width="15.28515625" style="4" bestFit="1" customWidth="1"/>
    <col min="14" max="14" width="15.7109375" style="4" bestFit="1" customWidth="1"/>
    <col min="15" max="15" width="18.140625" style="2" bestFit="1" customWidth="1"/>
    <col min="16" max="16" width="24.5703125" style="37" bestFit="1" customWidth="1"/>
    <col min="17" max="17" width="25" style="37" bestFit="1" customWidth="1"/>
    <col min="18" max="18" width="25" style="39" bestFit="1" customWidth="1"/>
  </cols>
  <sheetData>
    <row r="1" spans="1:18" x14ac:dyDescent="0.25">
      <c r="A1" s="1" t="s">
        <v>0</v>
      </c>
      <c r="B1" s="3" t="s">
        <v>1</v>
      </c>
      <c r="C1" s="5" t="s">
        <v>8</v>
      </c>
      <c r="D1" s="3" t="s">
        <v>2</v>
      </c>
      <c r="E1" s="5" t="s">
        <v>16</v>
      </c>
      <c r="F1" s="3" t="s">
        <v>3</v>
      </c>
      <c r="G1" s="3" t="s">
        <v>4</v>
      </c>
      <c r="H1" s="5" t="s">
        <v>10</v>
      </c>
      <c r="I1" s="5" t="s">
        <v>11</v>
      </c>
      <c r="J1" s="5" t="s">
        <v>13</v>
      </c>
      <c r="K1" s="4" t="s">
        <v>5</v>
      </c>
      <c r="L1" s="5" t="s">
        <v>9</v>
      </c>
      <c r="M1" s="4" t="s">
        <v>6</v>
      </c>
      <c r="N1" s="4" t="s">
        <v>7</v>
      </c>
      <c r="O1" s="3" t="s">
        <v>12</v>
      </c>
      <c r="P1" s="36" t="s">
        <v>43</v>
      </c>
      <c r="Q1" s="36" t="s">
        <v>44</v>
      </c>
      <c r="R1" s="39" t="s">
        <v>52</v>
      </c>
    </row>
    <row r="2" spans="1:18" x14ac:dyDescent="0.25">
      <c r="A2" s="1">
        <v>2020</v>
      </c>
      <c r="B2" s="3">
        <v>327413000</v>
      </c>
      <c r="C2" s="5" t="s">
        <v>42</v>
      </c>
      <c r="D2" s="3">
        <v>6058000</v>
      </c>
      <c r="F2" s="3">
        <v>11000000</v>
      </c>
      <c r="G2" s="3">
        <v>316413000</v>
      </c>
      <c r="H2" s="5">
        <f t="shared" ref="H2:H7" si="0">F2/B2</f>
        <v>3.3596711187399403E-2</v>
      </c>
      <c r="I2" s="5">
        <f t="shared" ref="I2:I7" si="1">D2/B2</f>
        <v>1.8502625124842326E-2</v>
      </c>
      <c r="J2" s="5">
        <f t="shared" ref="J2:J7" si="2">G2/B2</f>
        <v>0.96640328881260062</v>
      </c>
      <c r="K2" s="4">
        <v>441</v>
      </c>
      <c r="L2" s="5" t="s">
        <v>42</v>
      </c>
      <c r="M2" s="4" t="s">
        <v>42</v>
      </c>
      <c r="N2" s="4" t="s">
        <v>42</v>
      </c>
      <c r="O2" s="2">
        <f t="shared" ref="O2:O7" si="3">B2/K2</f>
        <v>742433.10657596367</v>
      </c>
      <c r="P2" s="37" t="s">
        <v>45</v>
      </c>
      <c r="Q2" s="37" t="s">
        <v>45</v>
      </c>
    </row>
    <row r="3" spans="1:18" x14ac:dyDescent="0.25">
      <c r="A3" s="1">
        <v>2021</v>
      </c>
      <c r="B3" s="3">
        <v>497876000</v>
      </c>
      <c r="C3" s="5">
        <f>(B3-B2)/B2</f>
        <v>0.52063601628524214</v>
      </c>
      <c r="D3" s="3">
        <v>-117931000</v>
      </c>
      <c r="E3" s="5">
        <f>(D3-D2)/D2</f>
        <v>-20.466985803895675</v>
      </c>
      <c r="F3" s="3">
        <v>-111226000</v>
      </c>
      <c r="G3" s="3">
        <v>609102000</v>
      </c>
      <c r="H3" s="5">
        <f t="shared" si="0"/>
        <v>-0.22340100747977409</v>
      </c>
      <c r="I3" s="5">
        <f t="shared" si="1"/>
        <v>-0.23686821618234258</v>
      </c>
      <c r="J3" s="5">
        <f t="shared" si="2"/>
        <v>1.2234010074797741</v>
      </c>
      <c r="K3" s="4">
        <v>538</v>
      </c>
      <c r="L3" s="5">
        <f>(K3-K2)/K2</f>
        <v>0.2199546485260771</v>
      </c>
      <c r="M3" s="4">
        <v>271</v>
      </c>
      <c r="N3" s="4">
        <v>267</v>
      </c>
      <c r="O3" s="2">
        <f t="shared" si="3"/>
        <v>925420.07434944238</v>
      </c>
      <c r="P3" s="37">
        <f>M3/K3</f>
        <v>0.50371747211895912</v>
      </c>
      <c r="Q3" s="37">
        <f>N3/K3</f>
        <v>0.49628252788104088</v>
      </c>
      <c r="R3" s="39">
        <v>8.4000000000000005E-2</v>
      </c>
    </row>
    <row r="4" spans="1:18" x14ac:dyDescent="0.25">
      <c r="A4" s="1">
        <v>2022</v>
      </c>
      <c r="B4" s="3">
        <v>739012000</v>
      </c>
      <c r="C4" s="5">
        <f>(B4-B3)/B3</f>
        <v>0.48432943142469209</v>
      </c>
      <c r="D4" s="3">
        <v>-19253000</v>
      </c>
      <c r="F4" s="3">
        <v>-2612000</v>
      </c>
      <c r="G4" s="3">
        <v>741624000</v>
      </c>
      <c r="H4" s="5">
        <f t="shared" si="0"/>
        <v>-3.5344486963675825E-3</v>
      </c>
      <c r="I4" s="5">
        <f t="shared" si="1"/>
        <v>-2.6052350976709444E-2</v>
      </c>
      <c r="J4" s="5">
        <f t="shared" si="2"/>
        <v>1.0035344486963675</v>
      </c>
      <c r="K4" s="4">
        <v>671</v>
      </c>
      <c r="L4" s="5">
        <f>(K4-K3)/K3</f>
        <v>0.24721189591078066</v>
      </c>
      <c r="M4" s="4">
        <v>396</v>
      </c>
      <c r="N4" s="4">
        <v>274</v>
      </c>
      <c r="O4" s="2">
        <f t="shared" si="3"/>
        <v>1101359.1654247392</v>
      </c>
      <c r="P4" s="37">
        <f>M4/K4</f>
        <v>0.5901639344262295</v>
      </c>
      <c r="Q4" s="37">
        <f t="shared" ref="Q4:Q7" si="4">N4/K4</f>
        <v>0.40834575260804767</v>
      </c>
      <c r="R4" s="39">
        <v>0.01</v>
      </c>
    </row>
    <row r="5" spans="1:18" x14ac:dyDescent="0.25">
      <c r="A5" s="1">
        <v>2023</v>
      </c>
      <c r="B5" s="3">
        <v>965776000</v>
      </c>
      <c r="C5" s="5">
        <f>(B5-B4)/B4</f>
        <v>0.30684752074391214</v>
      </c>
      <c r="D5" s="3">
        <v>9952000</v>
      </c>
      <c r="F5" s="3">
        <v>46222000</v>
      </c>
      <c r="G5" s="3">
        <v>919554000</v>
      </c>
      <c r="H5" s="5">
        <f t="shared" si="0"/>
        <v>4.7859959245208E-2</v>
      </c>
      <c r="I5" s="5">
        <f t="shared" si="1"/>
        <v>1.0304666920693826E-2</v>
      </c>
      <c r="J5" s="5">
        <f t="shared" si="2"/>
        <v>0.95214004075479197</v>
      </c>
      <c r="K5" s="4">
        <v>831</v>
      </c>
      <c r="L5" s="5">
        <f>(K5-K4)/K4</f>
        <v>0.23845007451564829</v>
      </c>
      <c r="M5" s="4">
        <v>542</v>
      </c>
      <c r="N5" s="4">
        <v>289</v>
      </c>
      <c r="O5" s="2">
        <f t="shared" si="3"/>
        <v>1162185.3188929001</v>
      </c>
      <c r="P5" s="37">
        <f t="shared" ref="P5:P7" si="5">M5/K5</f>
        <v>0.65222623345367026</v>
      </c>
      <c r="Q5" s="37">
        <f t="shared" si="4"/>
        <v>0.34777376654632974</v>
      </c>
      <c r="R5" s="39">
        <v>2.8000000000000001E-2</v>
      </c>
    </row>
    <row r="6" spans="1:18" x14ac:dyDescent="0.25">
      <c r="A6" s="1">
        <v>2024</v>
      </c>
      <c r="B6" s="3">
        <v>1281015000</v>
      </c>
      <c r="C6" s="5">
        <f>(B6-B5)/B5</f>
        <v>0.32641005781879029</v>
      </c>
      <c r="D6" s="3">
        <v>66450000</v>
      </c>
      <c r="E6" s="5">
        <f>(D6-D5)/D5</f>
        <v>5.677049839228296</v>
      </c>
      <c r="F6" s="3">
        <v>106093000</v>
      </c>
      <c r="G6" s="3">
        <v>1174922000</v>
      </c>
      <c r="H6" s="5">
        <f t="shared" si="0"/>
        <v>8.2819482988099283E-2</v>
      </c>
      <c r="I6" s="5">
        <f t="shared" si="1"/>
        <v>5.1872928888420509E-2</v>
      </c>
      <c r="J6" s="5">
        <f t="shared" si="2"/>
        <v>0.91718051701190073</v>
      </c>
      <c r="K6" s="4">
        <v>982</v>
      </c>
      <c r="L6" s="5">
        <f>(K6-K5)/K5</f>
        <v>0.18170878459687123</v>
      </c>
      <c r="M6" s="4">
        <v>670</v>
      </c>
      <c r="N6" s="4">
        <v>312</v>
      </c>
      <c r="O6" s="2">
        <f t="shared" si="3"/>
        <v>1304495.9266802445</v>
      </c>
      <c r="P6" s="37">
        <f t="shared" si="5"/>
        <v>0.68228105906313641</v>
      </c>
      <c r="Q6" s="37">
        <f t="shared" si="4"/>
        <v>0.31771894093686354</v>
      </c>
      <c r="R6" s="39">
        <v>5.2999999999999999E-2</v>
      </c>
    </row>
    <row r="7" spans="1:18" x14ac:dyDescent="0.25">
      <c r="A7" s="1">
        <v>2025</v>
      </c>
      <c r="B7" s="3">
        <v>1638159000</v>
      </c>
      <c r="C7" s="5">
        <f>(B7-B6)/B6</f>
        <v>0.27879767215840562</v>
      </c>
      <c r="D7" s="3">
        <v>117275000</v>
      </c>
      <c r="E7" s="5">
        <f>(D7-D6)/D6</f>
        <v>0.76486079759217451</v>
      </c>
      <c r="F7" s="3">
        <v>161180000</v>
      </c>
      <c r="G7" s="3">
        <v>1476979000</v>
      </c>
      <c r="H7" s="5">
        <f t="shared" si="0"/>
        <v>9.839093763181718E-2</v>
      </c>
      <c r="I7" s="5">
        <f t="shared" si="1"/>
        <v>7.1589509931575632E-2</v>
      </c>
      <c r="J7" s="5">
        <f t="shared" si="2"/>
        <v>0.90160906236818283</v>
      </c>
      <c r="K7" s="4">
        <v>1136</v>
      </c>
      <c r="L7" s="5">
        <f>(K7-K6)/K6</f>
        <v>0.15682281059063136</v>
      </c>
      <c r="M7" s="4">
        <v>811</v>
      </c>
      <c r="N7" s="4">
        <v>325</v>
      </c>
      <c r="O7" s="2">
        <f t="shared" si="3"/>
        <v>1442041.3732394367</v>
      </c>
      <c r="P7" s="37">
        <f t="shared" si="5"/>
        <v>0.71390845070422537</v>
      </c>
      <c r="Q7" s="37">
        <f t="shared" si="4"/>
        <v>0.28609154929577463</v>
      </c>
      <c r="R7" s="39">
        <v>5.6000000000000001E-2</v>
      </c>
    </row>
  </sheetData>
  <customSheetViews>
    <customSheetView guid="{6D03D69D-4C38-4796-9B98-7AD9E375DE36}">
      <selection activeCell="O2" sqref="O2"/>
    </customSheetView>
  </customSheetView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5AD6817-5554-4E31-BD72-DF053E369EC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Dashboard</vt:lpstr>
      <vt:lpstr>Charts</vt:lpstr>
      <vt:lpstr>Tables</vt:lpstr>
      <vt:lpstr>Expansion vs Profit</vt:lpstr>
      <vt:lpstr>Cost Analysis</vt:lpstr>
      <vt:lpstr>Profitability</vt:lpstr>
      <vt:lpstr>Efficiency</vt:lpstr>
      <vt:lpstr>Growth Analysis</vt:lpstr>
      <vt:lpstr>Company vs Franchise</vt:lpstr>
      <vt:lpstr>Financial Summary</vt:lpstr>
      <vt:lpstr>Same Shop Sales</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Sydney A Bear</dc:creator>
  <cp:lastModifiedBy>Sydney A Bear</cp:lastModifiedBy>
  <dcterms:created xsi:type="dcterms:W3CDTF">2026-07-23T13:34:45Z</dcterms:created>
  <dcterms:modified xsi:type="dcterms:W3CDTF">2026-07-30T18:19:08Z</dcterms:modified>
</cp:coreProperties>
</file>